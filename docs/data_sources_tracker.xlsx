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w to use" sheetId="1" state="visible" r:id="rId1"/>
    <sheet name="Sources" sheetId="2" state="visible" r:id="rId2"/>
    <sheet name="Capture log" sheetId="3" state="visible" r:id="rId3"/>
    <sheet name="Permissions" sheetId="4" state="visible" r:id="rId4"/>
    <sheet name="Credits" sheetId="5" state="visible" r:id="rId5"/>
  </sheets>
  <definedNames>
    <definedName name="_xlnm._FilterDatabase" localSheetId="1" hidden="1">'Sources'!$A$1:$O$25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A5C40"/>
      <sz val="10"/>
      <u val="single"/>
    </font>
    <font>
      <name val="Arial"/>
      <family val="2"/>
      <sz val="10"/>
    </font>
    <font>
      <name val="Arial"/>
      <charset val="1"/>
      <family val="0"/>
      <i val="1"/>
      <color rgb="FF5F5F5A"/>
      <sz val="10"/>
    </font>
  </fonts>
  <fills count="4">
    <fill>
      <patternFill/>
    </fill>
    <fill>
      <patternFill patternType="gray125"/>
    </fill>
    <fill>
      <patternFill patternType="solid">
        <fgColor rgb="FF14171A"/>
        <bgColor rgb="FF000000"/>
      </patternFill>
    </fill>
    <fill>
      <patternFill patternType="solid">
        <fgColor rgb="FFFFF6D5"/>
        <bgColor rgb="FFFFFFFF"/>
      </patternFill>
    </fill>
  </fills>
  <borders count="2">
    <border>
      <left/>
      <right/>
      <top/>
      <bottom/>
      <diagonal/>
    </border>
    <border>
      <left style="thin">
        <color rgb="FFD9D5CB"/>
      </left>
      <right style="thin">
        <color rgb="FFD9D5CB"/>
      </right>
      <top style="thin">
        <color rgb="FFD9D5CB"/>
      </top>
      <bottom style="thin">
        <color rgb="FFD9D5C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7" fillId="2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7" fillId="2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417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A5C40"/>
          <bgColor rgb="FF000000"/>
        </patternFill>
      </fill>
    </dxf>
    <dxf>
      <fill>
        <patternFill patternType="solid">
          <fgColor rgb="FFFFF6D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5"/>
      <rgbColor rgb="FFCCFFFF"/>
      <rgbColor rgb="FF660066"/>
      <rgbColor rgb="FFFF8080"/>
      <rgbColor rgb="FF0066CC"/>
      <rgbColor rgb="FFD9D5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F5A"/>
      <rgbColor rgb="FF969696"/>
      <rgbColor rgb="FF0A5C40"/>
      <rgbColor rgb="FF339966"/>
      <rgbColor rgb="FF14171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Unknown Author</author>
  </authors>
  <commentList>
    <comment ref="M1" authorId="0" shapeId="0">
      <text>
        <t>Pages we aim to photograph for the ~100-page benchmark. Public datasets are 0: they are used separately.</t>
      </text>
    </comment>
    <comment ref="N1" authorId="0" shapeId="0">
      <text>
        <t>Formula: counts rows in Capture log with this Source ID.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J1" authorId="0" shapeId="0">
      <text>
        <t>Must be No. If Yes, delete the photo and retake with a blank copy.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openstax.org/books/biology/pages/preface" TargetMode="External" Id="rId1" /><Relationship Type="http://schemas.openxmlformats.org/officeDocument/2006/relationships/hyperlink" Target="https://www.africanstorybook.org/" TargetMode="External" Id="rId2" /><Relationship Type="http://schemas.openxmlformats.org/officeDocument/2006/relationships/hyperlink" Target="https://ebible.org/study/content/texts/hausa/about.html" TargetMode="External" Id="rId3" /><Relationship Type="http://schemas.openxmlformats.org/officeDocument/2006/relationships/hyperlink" Target="https://ebible.org/study/content/texts/hauulb/about.html" TargetMode="External" Id="rId4" /><Relationship Type="http://schemas.openxmlformats.org/officeDocument/2006/relationships/hyperlink" Target="https://ebible.org/study/content/texts/yor/about.html" TargetMode="External" Id="rId5" /><Relationship Type="http://schemas.openxmlformats.org/officeDocument/2006/relationships/hyperlink" Target="https://ebible.org/study/content/texts/ibo/about.html" TargetMode="External" Id="rId6" /><Relationship Type="http://schemas.openxmlformats.org/officeDocument/2006/relationships/hyperlink" Target="https://alquran.cloud/terms-and-conditions" TargetMode="External" Id="rId7" /><Relationship Type="http://schemas.openxmlformats.org/officeDocument/2006/relationships/hyperlink" Target="https://languages.hesperian.org/pages/sd/pdf.html" TargetMode="External" Id="rId8" /><Relationship Type="http://schemas.openxmlformats.org/officeDocument/2006/relationships/hyperlink" Target="https://waeckonnect.com/" TargetMode="External" Id="rId9" /><Relationship Type="http://schemas.openxmlformats.org/officeDocument/2006/relationships/hyperlink" Target="https://neco.gov.ng/" TargetMode="External" Id="rId10" /><Relationship Type="http://schemas.openxmlformats.org/officeDocument/2006/relationships/hyperlink" Target="https://jamb.gov.ng/" TargetMode="External" Id="rId11" /><Relationship Type="http://schemas.openxmlformats.org/officeDocument/2006/relationships/hyperlink" Target="https://github.com/DS4SD/DocLayNet" TargetMode="External" Id="rId12" /><Relationship Type="http://schemas.openxmlformats.org/officeDocument/2006/relationships/hyperlink" Target="https://github.com/ibm-aur-nlp/PubTabNet" TargetMode="External" Id="rId13" /><Relationship Type="http://schemas.openxmlformats.org/officeDocument/2006/relationships/hyperlink" Target="https://huggingface.co/datasets/google/fleurs" TargetMode="External" Id="rId14" /><Relationship Type="http://schemas.openxmlformats.org/officeDocument/2006/relationships/hyperlink" Target="https://huggingface.co/datasets/intronhealth/afrispeech-200" TargetMode="External" Id="rId15" /><Relationship Type="http://schemas.openxmlformats.org/officeDocument/2006/relationships/hyperlink" Target="https://github.com/masakhane-io/lafand-mt" TargetMode="External" Id="rId1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13" min="1" max="1"/>
  </cols>
  <sheetData>
    <row r="1" ht="19.7" customHeight="1" s="14">
      <c r="A1" s="15" t="inlineStr">
        <is>
          <t>Magana Learn — Data Sources Tracker</t>
        </is>
      </c>
    </row>
    <row r="2" ht="15" customHeight="1" s="14">
      <c r="A2" s="16" t="inlineStr">
        <is>
          <t>Last updated 25 Oct 2026. Kept in the repo at docs/data_sources_tracker.xlsx; docs/DATA_SOURCES.md mirrors it (a test checks both list the same sources).</t>
        </is>
      </c>
    </row>
    <row r="3" ht="15" customHeight="1" s="14">
      <c r="A3" s="16" t="n"/>
    </row>
    <row r="4" ht="15" customHeight="1" s="14">
      <c r="A4" s="17" t="inlineStr">
        <is>
          <t>Tabs</t>
        </is>
      </c>
    </row>
    <row r="5" ht="15" customHeight="1" s="14">
      <c r="A5" s="16" t="inlineStr">
        <is>
          <t>Sources — every source we plan to use: link, licence, what we may do with it, owner and status.</t>
        </is>
      </c>
    </row>
    <row r="6" ht="15" customHeight="1" s="14">
      <c r="A6" s="16" t="inlineStr">
        <is>
          <t>Capture log — one row per photographed page in our benchmark. 'Pages collected' on Sources counts these rows automatically.</t>
        </is>
      </c>
    </row>
    <row r="7" ht="15" customHeight="1" s="14">
      <c r="A7" s="16" t="inlineStr">
        <is>
          <t>Permissions — written permission from teachers, schools or publishers. Keep the signed form or message as evidence.</t>
        </is>
      </c>
    </row>
    <row r="8" ht="15" customHeight="1" s="14">
      <c r="A8" s="16" t="inlineStr">
        <is>
          <t>Credits — attribution lines built automatically from Sources, for the README and the submission documentation.</t>
        </is>
      </c>
    </row>
    <row r="9" ht="15" customHeight="1" s="14">
      <c r="A9" s="16" t="n"/>
    </row>
    <row r="10" ht="15" customHeight="1" s="14">
      <c r="A10" s="17" t="inlineStr">
        <is>
          <t>What to edit</t>
        </is>
      </c>
    </row>
    <row r="11" ht="15" customHeight="1" s="14">
      <c r="A11" s="16" t="inlineStr">
        <is>
          <t>Pale-yellow cells are inputs: Owner, Status, Target pages, Notes, and every cell in Capture log and Permissions.</t>
        </is>
      </c>
    </row>
    <row r="12" ht="15" customHeight="1" s="14">
      <c r="A12" s="16" t="inlineStr">
        <is>
          <t>Do not edit Pages collected or the Credits tab: they are formulas.</t>
        </is>
      </c>
    </row>
    <row r="13" ht="15" customHeight="1" s="14">
      <c r="A13" s="16" t="n"/>
    </row>
    <row r="14" ht="15" customHeight="1" s="14">
      <c r="A14" s="17" t="inlineStr">
        <is>
          <t>Team rules</t>
        </is>
      </c>
    </row>
    <row r="15" ht="15" customHeight="1" s="14">
      <c r="A15" s="16" t="inlineStr">
        <is>
          <t>1. Published benchmark and demo: only open-licence (CC BY / CC BY-SA), our own pages, or written permission.</t>
        </is>
      </c>
    </row>
    <row r="16" ht="15" customHeight="1" s="14">
      <c r="A16" s="16" t="inlineStr">
        <is>
          <t>2. Private testing only: materials we legitimately own. Never upload, share or publish them.</t>
        </is>
      </c>
    </row>
    <row r="17" ht="15" customHeight="1" s="14">
      <c r="A17" s="16" t="inlineStr">
        <is>
          <t>3. Never: pirated PDFs or unofficial past-question download sites.</t>
        </is>
      </c>
    </row>
    <row r="18" ht="15" customHeight="1" s="14">
      <c r="A18" s="16" t="inlineStr">
        <is>
          <t>4. Credit every source. Credit is required but does NOT replace permission for copyrighted work.</t>
        </is>
      </c>
    </row>
    <row r="19" ht="15" customHeight="1" s="14">
      <c r="A19" s="16" t="inlineStr">
        <is>
          <t>5. No learner names, faces or personal data in any photo. Use blank or teacher copies.</t>
        </is>
      </c>
    </row>
    <row r="20" ht="15" customHeight="1" s="14">
      <c r="A20" s="16" t="inlineStr">
        <is>
          <t>6. Licences marked 'To verify' must be checked on the source page before use.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13" min="1" max="1"/>
    <col width="34" customWidth="1" style="13" min="2" max="2"/>
    <col width="22" customWidth="1" style="13" min="3" max="3"/>
    <col width="18" customWidth="1" style="13" min="4" max="4"/>
    <col width="40" customWidth="1" style="13" min="5" max="5"/>
    <col width="28" customWidth="1" style="13" min="6" max="6"/>
    <col width="18" customWidth="1" style="13" min="7" max="7"/>
    <col width="24" customWidth="1" style="13" min="8" max="8"/>
    <col width="34" customWidth="1" style="13" min="9" max="9"/>
    <col width="40" customWidth="1" style="13" min="10" max="10"/>
    <col width="12" customWidth="1" style="13" min="11" max="11"/>
    <col width="16" customWidth="1" style="13" min="12" max="12"/>
    <col width="10" customWidth="1" style="13" min="13" max="14"/>
    <col width="36" customWidth="1" style="13" min="15" max="15"/>
  </cols>
  <sheetData>
    <row r="1" ht="39.55" customHeight="1" s="14">
      <c r="A1" s="18" t="inlineStr">
        <is>
          <t>ID</t>
        </is>
      </c>
      <c r="B1" s="18" t="inlineStr">
        <is>
          <t>Source</t>
        </is>
      </c>
      <c r="C1" s="18" t="inlineStr">
        <is>
          <t>Category</t>
        </is>
      </c>
      <c r="D1" s="18" t="inlineStr">
        <is>
          <t>Language</t>
        </is>
      </c>
      <c r="E1" s="18" t="inlineStr">
        <is>
          <t>Link</t>
        </is>
      </c>
      <c r="F1" s="18" t="inlineStr">
        <is>
          <t>Licence</t>
        </is>
      </c>
      <c r="G1" s="18" t="inlineStr">
        <is>
          <t>Licence checked?</t>
        </is>
      </c>
      <c r="H1" s="18" t="inlineStr">
        <is>
          <t>Can we publish it?</t>
        </is>
      </c>
      <c r="I1" s="18" t="inlineStr">
        <is>
          <t>What we can use it for</t>
        </is>
      </c>
      <c r="J1" s="18" t="inlineStr">
        <is>
          <t>Credit line to use</t>
        </is>
      </c>
      <c r="K1" s="18" t="inlineStr">
        <is>
          <t>Owner</t>
        </is>
      </c>
      <c r="L1" s="18" t="inlineStr">
        <is>
          <t>Status</t>
        </is>
      </c>
      <c r="M1" s="18" t="inlineStr">
        <is>
          <t>Target pages</t>
        </is>
      </c>
      <c r="N1" s="18" t="inlineStr">
        <is>
          <t>Pages collected</t>
        </is>
      </c>
      <c r="O1" s="18" t="inlineStr">
        <is>
          <t>Notes</t>
        </is>
      </c>
    </row>
    <row r="2" ht="23.85" customHeight="1" s="14">
      <c r="A2" s="19" t="inlineStr">
        <is>
          <t>S01</t>
        </is>
      </c>
      <c r="B2" s="19" t="inlineStr">
        <is>
          <t>OpenStax Biology 2e</t>
        </is>
      </c>
      <c r="C2" s="19" t="inlineStr">
        <is>
          <t>Textbook (secondary/tertiary)</t>
        </is>
      </c>
      <c r="D2" s="19" t="inlineStr">
        <is>
          <t>English</t>
        </is>
      </c>
      <c r="E2" s="20" t="inlineStr">
        <is>
          <t>https://openstax.org/books/biology/pages/preface</t>
        </is>
      </c>
      <c r="F2" s="19" t="inlineStr">
        <is>
          <t>CC BY 4.0</t>
        </is>
      </c>
      <c r="G2" s="19" t="inlineStr">
        <is>
          <t>Verified 23 Oct 2026</t>
        </is>
      </c>
      <c r="H2" s="19" t="inlineStr">
        <is>
          <t>Yes, with credit</t>
        </is>
      </c>
      <c r="I2" s="19" t="inlineStr">
        <is>
          <t>Biology pages for benchmark: text, tables, diagrams</t>
        </is>
      </c>
      <c r="J2" s="19" t="inlineStr">
        <is>
          <t>Biology 2e, OpenStax, licensed under CC BY 4.0</t>
        </is>
      </c>
      <c r="K2" s="21" t="inlineStr">
        <is>
          <t>Daniel</t>
        </is>
      </c>
      <c r="L2" s="21" t="inlineStr">
        <is>
          <t>Not started</t>
        </is>
      </c>
      <c r="M2" s="21" t="n">
        <v>20</v>
      </c>
      <c r="N2" s="19">
        <f>COUNTIF('Capture log'!$B$3:$B$202,A2)</f>
        <v/>
      </c>
      <c r="O2" s="21" t="n"/>
    </row>
    <row r="3" ht="35.05" customHeight="1" s="14">
      <c r="A3" s="19" t="inlineStr">
        <is>
          <t>S02</t>
        </is>
      </c>
      <c r="B3" s="19" t="inlineStr">
        <is>
          <t>African Storybook</t>
        </is>
      </c>
      <c r="C3" s="19" t="inlineStr">
        <is>
          <t>Primary readers</t>
        </is>
      </c>
      <c r="D3" s="19" t="inlineStr">
        <is>
          <t>Many incl. Nigerian languages (check titles)</t>
        </is>
      </c>
      <c r="E3" s="20" t="inlineStr">
        <is>
          <t>https://www.africanstorybook.org</t>
        </is>
      </c>
      <c r="F3" s="19" t="inlineStr">
        <is>
          <t>Open licences, usually CC BY</t>
        </is>
      </c>
      <c r="G3" s="19" t="inlineStr">
        <is>
          <t>To verify per title</t>
        </is>
      </c>
      <c r="H3" s="19" t="inlineStr">
        <is>
          <t>Yes, with credit (per title)</t>
        </is>
      </c>
      <c r="I3" s="19" t="inlineStr">
        <is>
          <t>Primary-level reading pages in Hausa, Yoruba, Igbo</t>
        </is>
      </c>
      <c r="J3" s="19" t="inlineStr">
        <is>
          <t>[Title], African Storybook, [licence of that title]</t>
        </is>
      </c>
      <c r="K3" s="21" t="inlineStr">
        <is>
          <t>Daniel</t>
        </is>
      </c>
      <c r="L3" s="21" t="inlineStr">
        <is>
          <t>Not started</t>
        </is>
      </c>
      <c r="M3" s="21" t="n">
        <v>10</v>
      </c>
      <c r="N3" s="19">
        <f>COUNTIF('Capture log'!$B$3:$B$202,A3)</f>
        <v/>
      </c>
      <c r="O3" s="21" t="n"/>
    </row>
    <row r="4" ht="23.85" customHeight="1" s="14">
      <c r="A4" s="19" t="inlineStr">
        <is>
          <t>S03</t>
        </is>
      </c>
      <c r="B4" s="19" t="inlineStr">
        <is>
          <t>Biblica Open Hausa Contemporary Bible</t>
        </is>
      </c>
      <c r="C4" s="19" t="inlineStr">
        <is>
          <t>Daily reading (religious)</t>
        </is>
      </c>
      <c r="D4" s="19" t="inlineStr">
        <is>
          <t>Hausa</t>
        </is>
      </c>
      <c r="E4" s="20" t="inlineStr">
        <is>
          <t>https://ebible.org/study/content/texts/hausa/about.html</t>
        </is>
      </c>
      <c r="F4" s="19" t="inlineStr">
        <is>
          <t>CC BY-SA 4.0</t>
        </is>
      </c>
      <c r="G4" s="19" t="inlineStr">
        <is>
          <t>Verified 23 Oct 2026</t>
        </is>
      </c>
      <c r="H4" s="19" t="inlineStr">
        <is>
          <t>Yes, share-alike</t>
        </is>
      </c>
      <c r="I4" s="19" t="inlineStr">
        <is>
          <t>Daily Bible-reading test pages; Hausa reading</t>
        </is>
      </c>
      <c r="J4" s="19" t="inlineStr">
        <is>
          <t>Biblica Open Hausa Contemporary Bible, Biblica Inc., CC BY-SA 4.0</t>
        </is>
      </c>
      <c r="K4" s="21" t="inlineStr">
        <is>
          <t>Balogun</t>
        </is>
      </c>
      <c r="L4" s="21" t="inlineStr">
        <is>
          <t>Not started</t>
        </is>
      </c>
      <c r="M4" s="21" t="n">
        <v>5</v>
      </c>
      <c r="N4" s="19">
        <f>COUNTIF('Capture log'!$B$3:$B$202,A4)</f>
        <v/>
      </c>
      <c r="O4" s="21" t="n"/>
    </row>
    <row r="5" ht="23.85" customHeight="1" s="14">
      <c r="A5" s="19" t="inlineStr">
        <is>
          <t>S04</t>
        </is>
      </c>
      <c r="B5" s="19" t="inlineStr">
        <is>
          <t>Litafi Mai-tsarki (Hausa New Testament, Door43)</t>
        </is>
      </c>
      <c r="C5" s="19" t="inlineStr">
        <is>
          <t>Daily reading (religious)</t>
        </is>
      </c>
      <c r="D5" s="19" t="inlineStr">
        <is>
          <t>Hausa</t>
        </is>
      </c>
      <c r="E5" s="20" t="inlineStr">
        <is>
          <t>https://ebible.org/study/content/texts/hauulb/about.html</t>
        </is>
      </c>
      <c r="F5" s="19" t="inlineStr">
        <is>
          <t>CC BY-SA 4.0</t>
        </is>
      </c>
      <c r="G5" s="19" t="inlineStr">
        <is>
          <t>Verified 23 Oct 2026</t>
        </is>
      </c>
      <c r="H5" s="19" t="inlineStr">
        <is>
          <t>Yes, share-alike</t>
        </is>
      </c>
      <c r="I5" s="19" t="inlineStr">
        <is>
          <t>Alternative Hausa text</t>
        </is>
      </c>
      <c r="J5" s="19" t="inlineStr">
        <is>
          <t>Litafi Mai-tsarki, Door43 World Missions Community, CC BY-SA 4.0</t>
        </is>
      </c>
      <c r="K5" s="21" t="inlineStr">
        <is>
          <t>Balogun</t>
        </is>
      </c>
      <c r="L5" s="21" t="inlineStr">
        <is>
          <t>Not started</t>
        </is>
      </c>
      <c r="M5" s="21" t="n">
        <v>0</v>
      </c>
      <c r="N5" s="19">
        <f>COUNTIF('Capture log'!$B$3:$B$202,A5)</f>
        <v/>
      </c>
      <c r="O5" s="21" t="n"/>
    </row>
    <row r="6" ht="23.85" customHeight="1" s="14">
      <c r="A6" s="19" t="inlineStr">
        <is>
          <t>S05</t>
        </is>
      </c>
      <c r="B6" s="19" t="inlineStr">
        <is>
          <t>Biblica Open Yoruba Contemporary Bible</t>
        </is>
      </c>
      <c r="C6" s="19" t="inlineStr">
        <is>
          <t>Daily reading (religious)</t>
        </is>
      </c>
      <c r="D6" s="19" t="inlineStr">
        <is>
          <t>Yoruba</t>
        </is>
      </c>
      <c r="E6" s="20" t="inlineStr">
        <is>
          <t>https://ebible.org/study/content/texts/yor/about.html</t>
        </is>
      </c>
      <c r="F6" s="19" t="inlineStr">
        <is>
          <t>CC BY-SA 4.0</t>
        </is>
      </c>
      <c r="G6" s="19" t="inlineStr">
        <is>
          <t>Verified 23 Oct 2026</t>
        </is>
      </c>
      <c r="H6" s="19" t="inlineStr">
        <is>
          <t>Yes, share-alike</t>
        </is>
      </c>
      <c r="I6" s="19" t="inlineStr">
        <is>
          <t>Daily Bible-reading test pages; Yoruba reading</t>
        </is>
      </c>
      <c r="J6" s="19" t="inlineStr">
        <is>
          <t>Biblica Open Yoruba Contemporary Bible, Biblica Inc., CC BY-SA 4.0</t>
        </is>
      </c>
      <c r="K6" s="21" t="inlineStr">
        <is>
          <t>Balogun</t>
        </is>
      </c>
      <c r="L6" s="21" t="inlineStr">
        <is>
          <t>Not started</t>
        </is>
      </c>
      <c r="M6" s="21" t="n">
        <v>5</v>
      </c>
      <c r="N6" s="19">
        <f>COUNTIF('Capture log'!$B$3:$B$202,A6)</f>
        <v/>
      </c>
      <c r="O6" s="21" t="n"/>
    </row>
    <row r="7" ht="23.85" customHeight="1" s="14">
      <c r="A7" s="19" t="inlineStr">
        <is>
          <t>S06</t>
        </is>
      </c>
      <c r="B7" s="19" t="inlineStr">
        <is>
          <t>Biblica Open Igbo Contemporary Bible</t>
        </is>
      </c>
      <c r="C7" s="19" t="inlineStr">
        <is>
          <t>Daily reading (religious)</t>
        </is>
      </c>
      <c r="D7" s="19" t="inlineStr">
        <is>
          <t>Igbo</t>
        </is>
      </c>
      <c r="E7" s="20" t="inlineStr">
        <is>
          <t>https://ebible.org/study/content/texts/ibo/about.html</t>
        </is>
      </c>
      <c r="F7" s="19" t="inlineStr">
        <is>
          <t>CC BY-SA 4.0</t>
        </is>
      </c>
      <c r="G7" s="19" t="inlineStr">
        <is>
          <t>Verified 23 Oct 2026</t>
        </is>
      </c>
      <c r="H7" s="19" t="inlineStr">
        <is>
          <t>Yes, share-alike</t>
        </is>
      </c>
      <c r="I7" s="19" t="inlineStr">
        <is>
          <t>Daily Bible-reading test pages; Igbo reading</t>
        </is>
      </c>
      <c r="J7" s="19" t="inlineStr">
        <is>
          <t>Biblica Open Igbo Contemporary Bible, Biblica Inc., CC BY-SA 4.0</t>
        </is>
      </c>
      <c r="K7" s="21" t="inlineStr">
        <is>
          <t>Balogun</t>
        </is>
      </c>
      <c r="L7" s="21" t="inlineStr">
        <is>
          <t>Not started</t>
        </is>
      </c>
      <c r="M7" s="21" t="n">
        <v>5</v>
      </c>
      <c r="N7" s="19">
        <f>COUNTIF('Capture log'!$B$3:$B$202,A7)</f>
        <v/>
      </c>
      <c r="O7" s="21" t="n"/>
    </row>
    <row r="8" ht="46.25" customHeight="1" s="14">
      <c r="A8" s="19" t="inlineStr">
        <is>
          <t>S07</t>
        </is>
      </c>
      <c r="B8" s="19" t="inlineStr">
        <is>
          <t>Qur'an, Arabic text (AlQuran Cloud / Tanzil)</t>
        </is>
      </c>
      <c r="C8" s="19" t="inlineStr">
        <is>
          <t>Daily reading (religious)</t>
        </is>
      </c>
      <c r="D8" s="19" t="inlineStr">
        <is>
          <t>Arabic</t>
        </is>
      </c>
      <c r="E8" s="20" t="inlineStr">
        <is>
          <t>https://alquran.cloud/terms-and-conditions</t>
        </is>
      </c>
      <c r="F8" s="19" t="inlineStr">
        <is>
          <t>Free non-commercial reproduction with acknowledgement; text must not be altered</t>
        </is>
      </c>
      <c r="G8" s="19" t="inlineStr">
        <is>
          <t>Verified 23 Oct 2026</t>
        </is>
      </c>
      <c r="H8" s="19" t="inlineStr">
        <is>
          <t>Yes, non-commercial, unaltered</t>
        </is>
      </c>
      <c r="I8" s="19" t="inlineStr">
        <is>
          <t>Daily Qur'an-reading test pages</t>
        </is>
      </c>
      <c r="J8" s="19" t="inlineStr">
        <is>
          <t>Qur'an text via AlQuran Cloud and Tanzil.net</t>
        </is>
      </c>
      <c r="K8" s="21" t="inlineStr">
        <is>
          <t>Dr. Amos</t>
        </is>
      </c>
      <c r="L8" s="21" t="inlineStr">
        <is>
          <t>Not started</t>
        </is>
      </c>
      <c r="M8" s="21" t="n">
        <v>5</v>
      </c>
      <c r="N8" s="19">
        <f>COUNTIF('Capture log'!$B$3:$B$202,A8)</f>
        <v/>
      </c>
      <c r="O8" s="21" t="n"/>
    </row>
    <row r="9" ht="15" customHeight="1" s="14">
      <c r="A9" s="19" t="inlineStr">
        <is>
          <t>S08</t>
        </is>
      </c>
      <c r="B9" s="19" t="inlineStr">
        <is>
          <t>Qur'an translations (Hausa, Yoruba)</t>
        </is>
      </c>
      <c r="C9" s="19" t="inlineStr">
        <is>
          <t>Daily reading (religious)</t>
        </is>
      </c>
      <c r="D9" s="19" t="inlineStr">
        <is>
          <t>Hausa, Yoruba</t>
        </is>
      </c>
      <c r="E9" s="19" t="inlineStr">
        <is>
          <t>[link to each translation]</t>
        </is>
      </c>
      <c r="F9" s="19" t="inlineStr">
        <is>
          <t>Varies by translation</t>
        </is>
      </c>
      <c r="G9" s="19" t="inlineStr">
        <is>
          <t>To verify</t>
        </is>
      </c>
      <c r="H9" s="19" t="inlineStr">
        <is>
          <t>No — until licence confirmed</t>
        </is>
      </c>
      <c r="I9" s="19" t="inlineStr">
        <is>
          <t>Local-language daily reading</t>
        </is>
      </c>
      <c r="J9" s="19" t="inlineStr">
        <is>
          <t>[Translation name, translator, licence]</t>
        </is>
      </c>
      <c r="K9" s="21" t="inlineStr">
        <is>
          <t>Dr. Amos</t>
        </is>
      </c>
      <c r="L9" s="21" t="inlineStr">
        <is>
          <t>Not started</t>
        </is>
      </c>
      <c r="M9" s="21" t="n">
        <v>0</v>
      </c>
      <c r="N9" s="19">
        <f>COUNTIF('Capture log'!$B$3:$B$202,A9)</f>
        <v/>
      </c>
      <c r="O9" s="21" t="n"/>
    </row>
    <row r="10" ht="23.85" customHeight="1" s="14">
      <c r="A10" s="19" t="inlineStr">
        <is>
          <t>S09</t>
        </is>
      </c>
      <c r="B10" s="19" t="inlineStr">
        <is>
          <t>Hesperian health guides (e.g. Where There Is No Doctor)</t>
        </is>
      </c>
      <c r="C10" s="19" t="inlineStr">
        <is>
          <t>Health materials</t>
        </is>
      </c>
      <c r="D10" s="19" t="inlineStr">
        <is>
          <t>English (+ some local)</t>
        </is>
      </c>
      <c r="E10" s="20" t="inlineStr">
        <is>
          <t>https://languages.hesperian.org/pages/sd/pdf.html</t>
        </is>
      </c>
      <c r="F10" s="19" t="inlineStr">
        <is>
          <t>Copyrighted; free PDFs, sharing by link encouraged</t>
        </is>
      </c>
      <c r="G10" s="19" t="inlineStr">
        <is>
          <t>Verified 23 Oct 2026</t>
        </is>
      </c>
      <c r="H10" s="19" t="inlineStr">
        <is>
          <t>No — needs permission</t>
        </is>
      </c>
      <c r="I10" s="19" t="inlineStr">
        <is>
          <t>Health-reading test pages, once Hesperian agrees</t>
        </is>
      </c>
      <c r="J10" s="19" t="inlineStr">
        <is>
          <t>Hesperian Health Guides, used with permission</t>
        </is>
      </c>
      <c r="K10" s="21" t="inlineStr">
        <is>
          <t>Dr. Amos</t>
        </is>
      </c>
      <c r="L10" s="21" t="inlineStr">
        <is>
          <t>Not started</t>
        </is>
      </c>
      <c r="M10" s="21" t="n">
        <v>0</v>
      </c>
      <c r="N10" s="19">
        <f>COUNTIF('Capture log'!$B$3:$B$202,A10)</f>
        <v/>
      </c>
      <c r="O10" s="21" t="n"/>
    </row>
    <row r="11" ht="23.85" customHeight="1" s="14">
      <c r="A11" s="19" t="inlineStr">
        <is>
          <t>S10</t>
        </is>
      </c>
      <c r="B11" s="19" t="inlineStr">
        <is>
          <t>WAEC past questions (Waeckonnect, official portal)</t>
        </is>
      </c>
      <c r="C11" s="19" t="inlineStr">
        <is>
          <t>Exam past questions</t>
        </is>
      </c>
      <c r="D11" s="19" t="inlineStr">
        <is>
          <t>English</t>
        </is>
      </c>
      <c r="E11" s="20" t="inlineStr">
        <is>
          <t>https://waeckonnect.com</t>
        </is>
      </c>
      <c r="F11" s="19" t="inlineStr">
        <is>
          <t>Copyrighted by WAEC; portal terms not yet known</t>
        </is>
      </c>
      <c r="G11" s="19" t="inlineStr">
        <is>
          <t>To verify</t>
        </is>
      </c>
      <c r="H11" s="19" t="inlineStr">
        <is>
          <t>No — needs written permission</t>
        </is>
      </c>
      <c r="I11" s="19" t="inlineStr">
        <is>
          <t>Private testing only until WAEC/DSN permission</t>
        </is>
      </c>
      <c r="J11" s="19" t="inlineStr">
        <is>
          <t>West African Examinations Council, used with permission</t>
        </is>
      </c>
      <c r="K11" s="21" t="inlineStr">
        <is>
          <t>Daniel</t>
        </is>
      </c>
      <c r="L11" s="21" t="inlineStr">
        <is>
          <t>Not started</t>
        </is>
      </c>
      <c r="M11" s="21" t="n">
        <v>0</v>
      </c>
      <c r="N11" s="19">
        <f>COUNTIF('Capture log'!$B$3:$B$202,A11)</f>
        <v/>
      </c>
      <c r="O11" s="21" t="n"/>
    </row>
    <row r="12" ht="23.85" customHeight="1" s="14">
      <c r="A12" s="19" t="inlineStr">
        <is>
          <t>S11</t>
        </is>
      </c>
      <c r="B12" s="19" t="inlineStr">
        <is>
          <t>NECO past questions</t>
        </is>
      </c>
      <c r="C12" s="19" t="inlineStr">
        <is>
          <t>Exam past questions</t>
        </is>
      </c>
      <c r="D12" s="19" t="inlineStr">
        <is>
          <t>English</t>
        </is>
      </c>
      <c r="E12" s="20" t="inlineStr">
        <is>
          <t>https://neco.gov.ng</t>
        </is>
      </c>
      <c r="F12" s="19" t="inlineStr">
        <is>
          <t>Copyrighted by NECO</t>
        </is>
      </c>
      <c r="G12" s="19" t="inlineStr">
        <is>
          <t>To verify</t>
        </is>
      </c>
      <c r="H12" s="19" t="inlineStr">
        <is>
          <t>No — needs written permission</t>
        </is>
      </c>
      <c r="I12" s="19" t="inlineStr">
        <is>
          <t>Private testing only until permission</t>
        </is>
      </c>
      <c r="J12" s="19" t="inlineStr">
        <is>
          <t>National Examinations Council, used with permission</t>
        </is>
      </c>
      <c r="K12" s="21" t="inlineStr">
        <is>
          <t>Daniel</t>
        </is>
      </c>
      <c r="L12" s="21" t="inlineStr">
        <is>
          <t>Not started</t>
        </is>
      </c>
      <c r="M12" s="21" t="n">
        <v>0</v>
      </c>
      <c r="N12" s="19">
        <f>COUNTIF('Capture log'!$B$3:$B$202,A12)</f>
        <v/>
      </c>
      <c r="O12" s="21" t="n"/>
    </row>
    <row r="13" ht="23.85" customHeight="1" s="14">
      <c r="A13" s="19" t="inlineStr">
        <is>
          <t>S12</t>
        </is>
      </c>
      <c r="B13" s="19" t="inlineStr">
        <is>
          <t>JAMB past questions</t>
        </is>
      </c>
      <c r="C13" s="19" t="inlineStr">
        <is>
          <t>Exam past questions</t>
        </is>
      </c>
      <c r="D13" s="19" t="inlineStr">
        <is>
          <t>English</t>
        </is>
      </c>
      <c r="E13" s="20" t="inlineStr">
        <is>
          <t>https://jamb.gov.ng</t>
        </is>
      </c>
      <c r="F13" s="19" t="inlineStr">
        <is>
          <t>Copyrighted by JAMB</t>
        </is>
      </c>
      <c r="G13" s="19" t="inlineStr">
        <is>
          <t>To verify</t>
        </is>
      </c>
      <c r="H13" s="19" t="inlineStr">
        <is>
          <t>No — needs written permission</t>
        </is>
      </c>
      <c r="I13" s="19" t="inlineStr">
        <is>
          <t>Private testing only until permission</t>
        </is>
      </c>
      <c r="J13" s="19" t="inlineStr">
        <is>
          <t>Joint Admissions and Matriculation Board, used with permission</t>
        </is>
      </c>
      <c r="K13" s="21" t="inlineStr">
        <is>
          <t>Daniel</t>
        </is>
      </c>
      <c r="L13" s="21" t="inlineStr">
        <is>
          <t>Not started</t>
        </is>
      </c>
      <c r="M13" s="21" t="n">
        <v>0</v>
      </c>
      <c r="N13" s="19">
        <f>COUNTIF('Capture log'!$B$3:$B$202,A13)</f>
        <v/>
      </c>
      <c r="O13" s="21" t="n"/>
    </row>
    <row r="14" ht="23.85" customHeight="1" s="14">
      <c r="A14" s="19" t="inlineStr">
        <is>
          <t>S13</t>
        </is>
      </c>
      <c r="B14" s="19" t="inlineStr">
        <is>
          <t>Teacher-made notes and tests (Daniel's teacher contact)</t>
        </is>
      </c>
      <c r="C14" s="19" t="inlineStr">
        <is>
          <t>Teacher materials</t>
        </is>
      </c>
      <c r="D14" s="19" t="inlineStr">
        <is>
          <t>English</t>
        </is>
      </c>
      <c r="E14" s="19" t="inlineStr">
        <is>
          <t>[shared privately]</t>
        </is>
      </c>
      <c r="F14" s="19" t="inlineStr">
        <is>
          <t>Teacher's own work</t>
        </is>
      </c>
      <c r="G14" s="19" t="inlineStr">
        <is>
          <t>Permission form</t>
        </is>
      </c>
      <c r="H14" s="19" t="inlineStr">
        <is>
          <t>Yes, with written permission</t>
        </is>
      </c>
      <c r="I14" s="19" t="inlineStr">
        <is>
          <t>Biology, Maths, English pages for benchmark</t>
        </is>
      </c>
      <c r="J14" s="19" t="inlineStr">
        <is>
          <t>[Teacher name, school], used with permission</t>
        </is>
      </c>
      <c r="K14" s="21" t="inlineStr">
        <is>
          <t>Daniel</t>
        </is>
      </c>
      <c r="L14" s="21" t="inlineStr">
        <is>
          <t>Not started</t>
        </is>
      </c>
      <c r="M14" s="21" t="n">
        <v>30</v>
      </c>
      <c r="N14" s="19">
        <f>COUNTIF('Capture log'!$B$3:$B$202,A14)</f>
        <v/>
      </c>
      <c r="O14" s="21" t="n"/>
    </row>
    <row r="15" ht="23.85" customHeight="1" s="14">
      <c r="A15" s="19" t="inlineStr">
        <is>
          <t>S14</t>
        </is>
      </c>
      <c r="B15" s="19" t="inlineStr">
        <is>
          <t>Teacher-made notes and tests (via Balogun's contacts)</t>
        </is>
      </c>
      <c r="C15" s="19" t="inlineStr">
        <is>
          <t>Teacher materials</t>
        </is>
      </c>
      <c r="D15" s="19" t="inlineStr">
        <is>
          <t>English (+ local if available)</t>
        </is>
      </c>
      <c r="E15" s="19" t="inlineStr">
        <is>
          <t>[shared privately]</t>
        </is>
      </c>
      <c r="F15" s="19" t="inlineStr">
        <is>
          <t>Teacher's own work</t>
        </is>
      </c>
      <c r="G15" s="19" t="inlineStr">
        <is>
          <t>Permission form</t>
        </is>
      </c>
      <c r="H15" s="19" t="inlineStr">
        <is>
          <t>Yes, with written permission</t>
        </is>
      </c>
      <c r="I15" s="19" t="inlineStr">
        <is>
          <t>Extra subjects; inclusive/special-school materials</t>
        </is>
      </c>
      <c r="J15" s="19" t="inlineStr">
        <is>
          <t>[Teacher name, school], used with permission</t>
        </is>
      </c>
      <c r="K15" s="21" t="inlineStr">
        <is>
          <t>Balogun</t>
        </is>
      </c>
      <c r="L15" s="21" t="inlineStr">
        <is>
          <t>Not started</t>
        </is>
      </c>
      <c r="M15" s="21" t="n">
        <v>20</v>
      </c>
      <c r="N15" s="19">
        <f>COUNTIF('Capture log'!$B$3:$B$202,A15)</f>
        <v/>
      </c>
      <c r="O15" s="21" t="n"/>
    </row>
    <row r="16" ht="23.85" customHeight="1" s="14">
      <c r="A16" s="19" t="inlineStr">
        <is>
          <t>S15</t>
        </is>
      </c>
      <c r="B16" s="19" t="inlineStr">
        <is>
          <t>Team-written practice questions (WAEC-style, and primary to SSS sample packs)</t>
        </is>
      </c>
      <c r="C16" s="19" t="inlineStr">
        <is>
          <t>Own content</t>
        </is>
      </c>
      <c r="D16" s="19" t="inlineStr">
        <is>
          <t>English</t>
        </is>
      </c>
      <c r="E16" s="19" t="inlineStr">
        <is>
          <t>app/assets/quiz/ (repo)</t>
        </is>
      </c>
      <c r="F16" s="19" t="inlineStr">
        <is>
          <t>Our own, released CC BY 4.0</t>
        </is>
      </c>
      <c r="G16" s="19" t="inlineStr">
        <is>
          <t>N/A — our own</t>
        </is>
      </c>
      <c r="H16" s="19" t="inlineStr">
        <is>
          <t>Yes</t>
        </is>
      </c>
      <c r="I16" s="19" t="inlineStr">
        <is>
          <t>Voice quiz content; benchmark</t>
        </is>
      </c>
      <c r="J16" s="19" t="inlineStr">
        <is>
          <t>Magana Learn team, CC BY 4.0</t>
        </is>
      </c>
      <c r="K16" s="21" t="inlineStr">
        <is>
          <t>Daniel</t>
        </is>
      </c>
      <c r="L16" s="21" t="inlineStr">
        <is>
          <t>Collecting</t>
        </is>
      </c>
      <c r="M16" s="21" t="n">
        <v>50</v>
      </c>
      <c r="N16" s="19">
        <f>COUNTIF('Capture log'!$B$3:$B$202,A16)</f>
        <v/>
      </c>
      <c r="O16" s="21" t="inlineStr">
        <is>
          <t>In use: 130 questions (SSS Biology 10; 12 sample packs × 10). Marked sample; to be reviewed by a teacher of each subject. Not past questions.</t>
        </is>
      </c>
    </row>
    <row r="17" ht="23.85" customHeight="1" s="14">
      <c r="A17" s="19" t="inlineStr">
        <is>
          <t>S16</t>
        </is>
      </c>
      <c r="B17" s="19" t="inlineStr">
        <is>
          <t>Team-made daily-life pages (notices, receipts, mock medicine labels)</t>
        </is>
      </c>
      <c r="C17" s="19" t="inlineStr">
        <is>
          <t>Own content</t>
        </is>
      </c>
      <c r="D17" s="19" t="inlineStr">
        <is>
          <t>English, Hausa, Yoruba, Igbo</t>
        </is>
      </c>
      <c r="E17" s="19" t="inlineStr">
        <is>
          <t>benchmark/explain/pages/ (repo)</t>
        </is>
      </c>
      <c r="F17" s="19" t="inlineStr">
        <is>
          <t>Our own, released CC BY 4.0</t>
        </is>
      </c>
      <c r="G17" s="19" t="inlineStr">
        <is>
          <t>N/A — our own</t>
        </is>
      </c>
      <c r="H17" s="19" t="inlineStr">
        <is>
          <t>Yes</t>
        </is>
      </c>
      <c r="I17" s="19" t="inlineStr">
        <is>
          <t>Daily-reading tests (independence measure)</t>
        </is>
      </c>
      <c r="J17" s="19" t="inlineStr">
        <is>
          <t>Magana Learn team, CC BY 4.0</t>
        </is>
      </c>
      <c r="K17" s="21" t="inlineStr">
        <is>
          <t>Dr. Amos</t>
        </is>
      </c>
      <c r="L17" s="21" t="inlineStr">
        <is>
          <t>Collecting</t>
        </is>
      </c>
      <c r="M17" s="21" t="n">
        <v>10</v>
      </c>
      <c r="N17" s="19">
        <f>COUNTIF('Capture log'!$B$3:$B$202,A17)</f>
        <v/>
      </c>
      <c r="O17" s="21" t="inlineStr">
        <is>
          <t>In use: 10 typed pages in the explanation benchmark (not photographed, so not in the capture log).</t>
        </is>
      </c>
    </row>
    <row r="18" ht="15" customHeight="1" s="14">
      <c r="A18" s="19" t="inlineStr">
        <is>
          <t>S17</t>
        </is>
      </c>
      <c r="B18" s="19" t="inlineStr">
        <is>
          <t>DocLayNet</t>
        </is>
      </c>
      <c r="C18" s="19" t="inlineStr">
        <is>
          <t>Public dataset (layout)</t>
        </is>
      </c>
      <c r="D18" s="19" t="inlineStr">
        <is>
          <t>English</t>
        </is>
      </c>
      <c r="E18" s="20" t="inlineStr">
        <is>
          <t>https://github.com/DS4SD/DocLayNet</t>
        </is>
      </c>
      <c r="F18" s="19" t="inlineStr">
        <is>
          <t>CDLA-Permissive (check)</t>
        </is>
      </c>
      <c r="G18" s="19" t="inlineStr">
        <is>
          <t>To verify</t>
        </is>
      </c>
      <c r="H18" s="19" t="inlineStr">
        <is>
          <t>Use for testing; cite</t>
        </is>
      </c>
      <c r="I18" s="19" t="inlineStr">
        <is>
          <t>Layout-model evaluation</t>
        </is>
      </c>
      <c r="J18" s="19" t="inlineStr">
        <is>
          <t>DocLayNet, IBM Research</t>
        </is>
      </c>
      <c r="K18" s="21" t="inlineStr">
        <is>
          <t>Daniel</t>
        </is>
      </c>
      <c r="L18" s="21" t="inlineStr">
        <is>
          <t>Not started</t>
        </is>
      </c>
      <c r="M18" s="21" t="n">
        <v>0</v>
      </c>
      <c r="N18" s="19">
        <f>COUNTIF('Capture log'!$B$3:$B$202,A18)</f>
        <v/>
      </c>
      <c r="O18" s="21" t="n"/>
    </row>
    <row r="19" ht="15" customHeight="1" s="14">
      <c r="A19" s="19" t="inlineStr">
        <is>
          <t>S18</t>
        </is>
      </c>
      <c r="B19" s="19" t="inlineStr">
        <is>
          <t>PubTabNet</t>
        </is>
      </c>
      <c r="C19" s="19" t="inlineStr">
        <is>
          <t>Public dataset (tables)</t>
        </is>
      </c>
      <c r="D19" s="19" t="inlineStr">
        <is>
          <t>English</t>
        </is>
      </c>
      <c r="E19" s="20" t="inlineStr">
        <is>
          <t>https://github.com/ibm-aur-nlp/PubTabNet</t>
        </is>
      </c>
      <c r="F19" s="19" t="inlineStr">
        <is>
          <t>CDLA-Permissive (check)</t>
        </is>
      </c>
      <c r="G19" s="19" t="inlineStr">
        <is>
          <t>To verify</t>
        </is>
      </c>
      <c r="H19" s="19" t="inlineStr">
        <is>
          <t>Use for testing; cite</t>
        </is>
      </c>
      <c r="I19" s="19" t="inlineStr">
        <is>
          <t>Table-reading evaluation</t>
        </is>
      </c>
      <c r="J19" s="19" t="inlineStr">
        <is>
          <t>PubTabNet, IBM Research</t>
        </is>
      </c>
      <c r="K19" s="21" t="inlineStr">
        <is>
          <t>Daniel</t>
        </is>
      </c>
      <c r="L19" s="21" t="inlineStr">
        <is>
          <t>Not started</t>
        </is>
      </c>
      <c r="M19" s="21" t="n">
        <v>0</v>
      </c>
      <c r="N19" s="19">
        <f>COUNTIF('Capture log'!$B$3:$B$202,A19)</f>
        <v/>
      </c>
      <c r="O19" s="21" t="n"/>
    </row>
    <row r="20" ht="15" customHeight="1" s="14">
      <c r="A20" s="19" t="inlineStr">
        <is>
          <t>S19</t>
        </is>
      </c>
      <c r="B20" s="19" t="inlineStr">
        <is>
          <t>im2latex-100k</t>
        </is>
      </c>
      <c r="C20" s="19" t="inlineStr">
        <is>
          <t>Public dataset (maths)</t>
        </is>
      </c>
      <c r="D20" s="19" t="inlineStr">
        <is>
          <t>—</t>
        </is>
      </c>
      <c r="E20" s="19" t="inlineStr">
        <is>
          <t>[dataset page]</t>
        </is>
      </c>
      <c r="F20" s="19" t="inlineStr">
        <is>
          <t>Check</t>
        </is>
      </c>
      <c r="G20" s="19" t="inlineStr">
        <is>
          <t>To verify</t>
        </is>
      </c>
      <c r="H20" s="19" t="inlineStr">
        <is>
          <t>Use for testing; cite</t>
        </is>
      </c>
      <c r="I20" s="19" t="inlineStr">
        <is>
          <t>Formula-reading evaluation</t>
        </is>
      </c>
      <c r="J20" s="19" t="inlineStr">
        <is>
          <t>im2latex-100k, Deng et al.</t>
        </is>
      </c>
      <c r="K20" s="21" t="inlineStr">
        <is>
          <t>Daniel</t>
        </is>
      </c>
      <c r="L20" s="21" t="inlineStr">
        <is>
          <t>Not started</t>
        </is>
      </c>
      <c r="M20" s="21" t="n">
        <v>0</v>
      </c>
      <c r="N20" s="19">
        <f>COUNTIF('Capture log'!$B$3:$B$202,A20)</f>
        <v/>
      </c>
      <c r="O20" s="21" t="n"/>
    </row>
    <row r="21" ht="15" customHeight="1" s="14">
      <c r="A21" s="19" t="inlineStr">
        <is>
          <t>S20</t>
        </is>
      </c>
      <c r="B21" s="19" t="inlineStr">
        <is>
          <t>AI2D (science diagrams)</t>
        </is>
      </c>
      <c r="C21" s="19" t="inlineStr">
        <is>
          <t>Public dataset (diagrams)</t>
        </is>
      </c>
      <c r="D21" s="19" t="inlineStr">
        <is>
          <t>English</t>
        </is>
      </c>
      <c r="E21" s="19" t="inlineStr">
        <is>
          <t>[dataset page]</t>
        </is>
      </c>
      <c r="F21" s="19" t="inlineStr">
        <is>
          <t>Check</t>
        </is>
      </c>
      <c r="G21" s="19" t="inlineStr">
        <is>
          <t>To verify</t>
        </is>
      </c>
      <c r="H21" s="19" t="inlineStr">
        <is>
          <t>Use for testing; cite</t>
        </is>
      </c>
      <c r="I21" s="19" t="inlineStr">
        <is>
          <t>Diagram-description evaluation</t>
        </is>
      </c>
      <c r="J21" s="19" t="inlineStr">
        <is>
          <t>AI2D, Allen Institute for AI</t>
        </is>
      </c>
      <c r="K21" s="21" t="inlineStr">
        <is>
          <t>Daniel</t>
        </is>
      </c>
      <c r="L21" s="21" t="inlineStr">
        <is>
          <t>Not started</t>
        </is>
      </c>
      <c r="M21" s="21" t="n">
        <v>0</v>
      </c>
      <c r="N21" s="19">
        <f>COUNTIF('Capture log'!$B$3:$B$202,A21)</f>
        <v/>
      </c>
      <c r="O21" s="21" t="n"/>
    </row>
    <row r="22" ht="23.85" customHeight="1" s="14">
      <c r="A22" s="19" t="inlineStr">
        <is>
          <t>S21</t>
        </is>
      </c>
      <c r="B22" s="19" t="inlineStr">
        <is>
          <t>FLEURS</t>
        </is>
      </c>
      <c r="C22" s="19" t="inlineStr">
        <is>
          <t>Public dataset (speech)</t>
        </is>
      </c>
      <c r="D22" s="19" t="inlineStr">
        <is>
          <t>Hausa, Yoruba, Igbo, English</t>
        </is>
      </c>
      <c r="E22" s="20" t="inlineStr">
        <is>
          <t>https://huggingface.co/datasets/google/fleurs</t>
        </is>
      </c>
      <c r="F22" s="19" t="inlineStr">
        <is>
          <t>CC BY 4.0 (check)</t>
        </is>
      </c>
      <c r="G22" s="19" t="inlineStr">
        <is>
          <t>To verify</t>
        </is>
      </c>
      <c r="H22" s="19" t="inlineStr">
        <is>
          <t>Use for testing; cite</t>
        </is>
      </c>
      <c r="I22" s="19" t="inlineStr">
        <is>
          <t>Speech recognition and TTS checks</t>
        </is>
      </c>
      <c r="J22" s="19" t="inlineStr">
        <is>
          <t>FLEURS, Google</t>
        </is>
      </c>
      <c r="K22" s="21" t="inlineStr">
        <is>
          <t>Daniel</t>
        </is>
      </c>
      <c r="L22" s="21" t="inlineStr">
        <is>
          <t>Collecting</t>
        </is>
      </c>
      <c r="M22" s="21" t="n">
        <v>0</v>
      </c>
      <c r="N22" s="19">
        <f>COUNTIF('Capture log'!$B$3:$B$202,A22)</f>
        <v/>
      </c>
      <c r="O22" s="21" t="inlineStr">
        <is>
          <t>In use: ASR benchmark, 10 test clips per language, cached outside the repo (benchmark/asr/).</t>
        </is>
      </c>
    </row>
    <row r="23" ht="23.85" customHeight="1" s="14">
      <c r="A23" s="19" t="inlineStr">
        <is>
          <t>S22</t>
        </is>
      </c>
      <c r="B23" s="19" t="inlineStr">
        <is>
          <t>AfriSpeech-200</t>
        </is>
      </c>
      <c r="C23" s="19" t="inlineStr">
        <is>
          <t>Public dataset (speech)</t>
        </is>
      </c>
      <c r="D23" s="19" t="inlineStr">
        <is>
          <t>Nigerian-accented English</t>
        </is>
      </c>
      <c r="E23" s="20" t="inlineStr">
        <is>
          <t>https://huggingface.co/datasets/intronhealth/afrispeech-200</t>
        </is>
      </c>
      <c r="F23" s="19" t="inlineStr">
        <is>
          <t>CC BY-NC-SA 4.0 (check)</t>
        </is>
      </c>
      <c r="G23" s="19" t="inlineStr">
        <is>
          <t>To verify</t>
        </is>
      </c>
      <c r="H23" s="19" t="inlineStr">
        <is>
          <t>Non-commercial testing only</t>
        </is>
      </c>
      <c r="I23" s="19" t="inlineStr">
        <is>
          <t>Voice-command recognition checks</t>
        </is>
      </c>
      <c r="J23" s="19" t="inlineStr">
        <is>
          <t>AfriSpeech-200, Intron Health</t>
        </is>
      </c>
      <c r="K23" s="21" t="inlineStr">
        <is>
          <t>Daniel</t>
        </is>
      </c>
      <c r="L23" s="21" t="inlineStr">
        <is>
          <t>Not started</t>
        </is>
      </c>
      <c r="M23" s="21" t="n">
        <v>0</v>
      </c>
      <c r="N23" s="19">
        <f>COUNTIF('Capture log'!$B$3:$B$202,A23)</f>
        <v/>
      </c>
      <c r="O23" s="21" t="n"/>
    </row>
    <row r="24" ht="23.85" customHeight="1" s="14">
      <c r="A24" s="19" t="inlineStr">
        <is>
          <t>S23</t>
        </is>
      </c>
      <c r="B24" s="19" t="inlineStr">
        <is>
          <t>BibleTTS</t>
        </is>
      </c>
      <c r="C24" s="19" t="inlineStr">
        <is>
          <t>Public dataset (speech)</t>
        </is>
      </c>
      <c r="D24" s="19" t="inlineStr">
        <is>
          <t>Hausa, Yoruba and others</t>
        </is>
      </c>
      <c r="E24" s="19" t="inlineStr">
        <is>
          <t>[dataset page]</t>
        </is>
      </c>
      <c r="F24" s="19" t="inlineStr">
        <is>
          <t>CC BY-SA 4.0 (check)</t>
        </is>
      </c>
      <c r="G24" s="19" t="inlineStr">
        <is>
          <t>To verify</t>
        </is>
      </c>
      <c r="H24" s="19" t="inlineStr">
        <is>
          <t>Use for testing; cite</t>
        </is>
      </c>
      <c r="I24" s="19" t="inlineStr">
        <is>
          <t>TTS quality checks</t>
        </is>
      </c>
      <c r="J24" s="19" t="inlineStr">
        <is>
          <t>BibleTTS, Masakhane</t>
        </is>
      </c>
      <c r="K24" s="21" t="inlineStr">
        <is>
          <t>Daniel</t>
        </is>
      </c>
      <c r="L24" s="21" t="inlineStr">
        <is>
          <t>Not started</t>
        </is>
      </c>
      <c r="M24" s="21" t="n">
        <v>0</v>
      </c>
      <c r="N24" s="19">
        <f>COUNTIF('Capture log'!$B$3:$B$202,A24)</f>
        <v/>
      </c>
      <c r="O24" s="21" t="n"/>
    </row>
    <row r="25" ht="15" customHeight="1" s="14">
      <c r="A25" s="19" t="inlineStr">
        <is>
          <t>S24</t>
        </is>
      </c>
      <c r="B25" s="19" t="inlineStr">
        <is>
          <t>MAFAND-MT</t>
        </is>
      </c>
      <c r="C25" s="19" t="inlineStr">
        <is>
          <t>Public dataset (translation)</t>
        </is>
      </c>
      <c r="D25" s="19" t="inlineStr">
        <is>
          <t>Hausa, Yoruba, Igbo</t>
        </is>
      </c>
      <c r="E25" s="20" t="inlineStr">
        <is>
          <t>https://github.com/masakhane-io/lafand-mt</t>
        </is>
      </c>
      <c r="F25" s="19" t="inlineStr">
        <is>
          <t>Check</t>
        </is>
      </c>
      <c r="G25" s="19" t="inlineStr">
        <is>
          <t>To verify</t>
        </is>
      </c>
      <c r="H25" s="19" t="inlineStr">
        <is>
          <t>Use for testing; cite</t>
        </is>
      </c>
      <c r="I25" s="19" t="inlineStr">
        <is>
          <t>Translation-quality checks</t>
        </is>
      </c>
      <c r="J25" s="19" t="inlineStr">
        <is>
          <t>MAFAND-MT, Masakhane</t>
        </is>
      </c>
      <c r="K25" s="21" t="inlineStr">
        <is>
          <t>Daniel</t>
        </is>
      </c>
      <c r="L25" s="21" t="inlineStr">
        <is>
          <t>Not started</t>
        </is>
      </c>
      <c r="M25" s="21" t="n">
        <v>0</v>
      </c>
      <c r="N25" s="19">
        <f>COUNTIF('Capture log'!$B$3:$B$202,A25)</f>
        <v/>
      </c>
      <c r="O25" s="21" t="n"/>
    </row>
    <row r="26">
      <c r="A26" s="19" t="inlineStr">
        <is>
          <t>S25</t>
        </is>
      </c>
      <c r="B26" s="19" t="inlineStr">
        <is>
          <t>Team-written Skills lessons</t>
        </is>
      </c>
      <c r="C26" s="19" t="inlineStr">
        <is>
          <t>Own content</t>
        </is>
      </c>
      <c r="D26" s="19" t="inlineStr">
        <is>
          <t>English</t>
        </is>
      </c>
      <c r="E26" s="20" t="inlineStr">
        <is>
          <t>app/assets/lessons/lessons.json (repo)</t>
        </is>
      </c>
      <c r="F26" s="19" t="inlineStr">
        <is>
          <t>Our own, released CC BY 4.0</t>
        </is>
      </c>
      <c r="G26" s="19" t="inlineStr">
        <is>
          <t>N/A — our own</t>
        </is>
      </c>
      <c r="H26" s="19" t="inlineStr">
        <is>
          <t>Yes</t>
        </is>
      </c>
      <c r="I26" s="19" t="inlineStr">
        <is>
          <t>Skills (Lead) lessons in the app</t>
        </is>
      </c>
      <c r="J26" s="19" t="inlineStr">
        <is>
          <t>Magana Learn team, CC BY 4.0</t>
        </is>
      </c>
      <c r="K26" s="21" t="inlineStr">
        <is>
          <t>Daniel</t>
        </is>
      </c>
      <c r="L26" s="21" t="inlineStr">
        <is>
          <t>Collecting</t>
        </is>
      </c>
      <c r="M26" s="21" t="n">
        <v>0</v>
      </c>
      <c r="N26" s="19">
        <f>COUNTIF('Capture log'!$B$3:$B$202,A26)</f>
        <v/>
      </c>
      <c r="O26" s="21" t="inlineStr">
        <is>
          <t>Draft, to be reviewed by rehabilitation trainers.</t>
        </is>
      </c>
    </row>
    <row r="27" ht="15" customHeight="1" s="14">
      <c r="A27" s="19" t="inlineStr">
        <is>
          <t>S26</t>
        </is>
      </c>
      <c r="B27" s="19" t="inlineStr">
        <is>
          <t>Team photos of misread labels</t>
        </is>
      </c>
      <c r="C27" s="19" t="inlineStr">
        <is>
          <t>Own content</t>
        </is>
      </c>
      <c r="D27" s="19" t="inlineStr">
        <is>
          <t>English</t>
        </is>
      </c>
      <c r="E27" s="20" t="inlineStr">
        <is>
          <t>backend/tests/fixtures/misreads/ (repo)</t>
        </is>
      </c>
      <c r="F27" s="19" t="inlineStr">
        <is>
          <t>Team-owned photos</t>
        </is>
      </c>
      <c r="G27" s="19" t="inlineStr">
        <is>
          <t>N/A — our own</t>
        </is>
      </c>
      <c r="H27" s="19" t="inlineStr">
        <is>
          <t>No — check each photo first (no personal data)</t>
        </is>
      </c>
      <c r="I27" s="19" t="inlineStr">
        <is>
          <t>Regression tests for number misreads</t>
        </is>
      </c>
      <c r="J27" s="19" t="inlineStr">
        <is>
          <t>Magana Learn team</t>
        </is>
      </c>
      <c r="K27" s="21" t="inlineStr">
        <is>
          <t>Daniel</t>
        </is>
      </c>
      <c r="L27" s="21" t="inlineStr">
        <is>
          <t>Collecting</t>
        </is>
      </c>
      <c r="M27" s="21" t="n">
        <v>0</v>
      </c>
      <c r="N27" s="19">
        <f>COUNTIF('Capture log'!$B$3:$B$202,A27)</f>
        <v/>
      </c>
      <c r="O27" s="21" t="inlineStr"/>
    </row>
    <row r="28">
      <c r="A28" s="19" t="inlineStr">
        <is>
          <t>S27</t>
        </is>
      </c>
      <c r="B28" s="19" t="inlineStr">
        <is>
          <t>Nigerian national curriculum subject and class names</t>
        </is>
      </c>
      <c r="C28" s="19" t="inlineStr">
        <is>
          <t>Reference (names only)</t>
        </is>
      </c>
      <c r="D28" s="19" t="inlineStr">
        <is>
          <t>English</t>
        </is>
      </c>
      <c r="E28" s="20" t="inlineStr">
        <is>
          <t>NERDC</t>
        </is>
      </c>
      <c r="F28" s="19" t="inlineStr">
        <is>
          <t>Names only; no curriculum text copied</t>
        </is>
      </c>
      <c r="G28" s="19" t="inlineStr">
        <is>
          <t>N/A</t>
        </is>
      </c>
      <c r="H28" s="19" t="inlineStr">
        <is>
          <t>No — names only, nothing to credit</t>
        </is>
      </c>
      <c r="I28" s="19" t="inlineStr">
        <is>
          <t>Class levels and subjects in the app and portal (backend/app/curriculum.py)</t>
        </is>
      </c>
      <c r="J28" s="19" t="inlineStr">
        <is>
          <t>—</t>
        </is>
      </c>
      <c r="K28" s="21" t="inlineStr">
        <is>
          <t>Daniel</t>
        </is>
      </c>
      <c r="L28" s="21" t="inlineStr">
        <is>
          <t>Done</t>
        </is>
      </c>
      <c r="M28" s="21" t="n">
        <v>0</v>
      </c>
      <c r="N28" s="19">
        <f>COUNTIF('Capture log'!$B$3:$B$202,A28)</f>
        <v/>
      </c>
      <c r="O28" s="21" t="inlineStr"/>
    </row>
    <row r="29">
      <c r="A29" s="19" t="inlineStr">
        <is>
          <t>S28</t>
        </is>
      </c>
      <c r="B29" s="19" t="inlineStr">
        <is>
          <t>Medicine-label phrase templates</t>
        </is>
      </c>
      <c r="C29" s="19" t="inlineStr">
        <is>
          <t>Own content</t>
        </is>
      </c>
      <c r="D29" s="19" t="inlineStr">
        <is>
          <t>Hausa, Yoruba, Igbo</t>
        </is>
      </c>
      <c r="E29" s="20" t="inlineStr">
        <is>
          <t>content/templates/ (repo)</t>
        </is>
      </c>
      <c r="F29" s="19" t="inlineStr">
        <is>
          <t>Our own, released CC BY 4.0</t>
        </is>
      </c>
      <c r="G29" s="19" t="inlineStr">
        <is>
          <t>N/A — our own</t>
        </is>
      </c>
      <c r="H29" s="19" t="inlineStr">
        <is>
          <t>Yes</t>
        </is>
      </c>
      <c r="I29" s="19" t="inlineStr">
        <is>
          <t>Health-paper line translations with number slots</t>
        </is>
      </c>
      <c r="J29" s="19" t="inlineStr">
        <is>
          <t>Magana Learn team, CC BY 4.0</t>
        </is>
      </c>
      <c r="K29" s="21" t="inlineStr">
        <is>
          <t>Dr. Amos</t>
        </is>
      </c>
      <c r="L29" s="21" t="inlineStr">
        <is>
          <t>Collecting</t>
        </is>
      </c>
      <c r="M29" s="21" t="n">
        <v>0</v>
      </c>
      <c r="N29" s="19">
        <f>COUNTIF('Capture log'!$B$3:$B$202,A29)</f>
        <v/>
      </c>
      <c r="O29" s="21" t="inlineStr">
        <is>
          <t>Draft: 15 phrases. Native review, then Dr. Amos's clinical approval; only clinically approved ones are used.</t>
        </is>
      </c>
    </row>
    <row r="30">
      <c r="A30" s="19" t="inlineStr">
        <is>
          <t>S29</t>
        </is>
      </c>
      <c r="B30" s="19" t="inlineStr">
        <is>
          <t>Number and unit word lists; quiz answer forms</t>
        </is>
      </c>
      <c r="C30" s="19" t="inlineStr">
        <is>
          <t>Own content</t>
        </is>
      </c>
      <c r="D30" s="19" t="inlineStr">
        <is>
          <t>English, Hausa, Yoruba, Igbo</t>
        </is>
      </c>
      <c r="E30" s="20" t="inlineStr">
        <is>
          <t>content/number_words/, content/answers/closed_sets.json (repo)</t>
        </is>
      </c>
      <c r="F30" s="19" t="inlineStr">
        <is>
          <t>Our own, released CC BY 4.0</t>
        </is>
      </c>
      <c r="G30" s="19" t="inlineStr">
        <is>
          <t>N/A — our own</t>
        </is>
      </c>
      <c r="H30" s="19" t="inlineStr">
        <is>
          <t>Yes</t>
        </is>
      </c>
      <c r="I30" s="19" t="inlineStr">
        <is>
          <t>The explanation number check</t>
        </is>
      </c>
      <c r="J30" s="19" t="inlineStr">
        <is>
          <t>Magana Learn team, CC BY 4.0</t>
        </is>
      </c>
      <c r="K30" s="21" t="inlineStr">
        <is>
          <t>Daniel</t>
        </is>
      </c>
      <c r="L30" s="21" t="inlineStr">
        <is>
          <t>Collecting</t>
        </is>
      </c>
      <c r="M30" s="21" t="n">
        <v>0</v>
      </c>
      <c r="N30" s="19">
        <f>COUNTIF('Capture log'!$B$3:$B$202,A30)</f>
        <v/>
      </c>
      <c r="O30" s="21" t="inlineStr">
        <is>
          <t>Needs native-speaker review.</t>
        </is>
      </c>
    </row>
    <row r="31">
      <c r="A31" s="19" t="inlineStr">
        <is>
          <t>S30</t>
        </is>
      </c>
      <c r="B31" s="19" t="inlineStr">
        <is>
          <t>Teacher-made quizzes (portal)</t>
        </is>
      </c>
      <c r="C31" s="19" t="inlineStr">
        <is>
          <t>Teacher materials</t>
        </is>
      </c>
      <c r="D31" s="19" t="inlineStr">
        <is>
          <t>Any</t>
        </is>
      </c>
      <c r="E31" s="20" t="inlineStr">
        <is>
          <t>The Magana server (MAGANA_DATA_DIR), never the repo</t>
        </is>
      </c>
      <c r="F31" s="19" t="inlineStr">
        <is>
          <t>Teacher's own work</t>
        </is>
      </c>
      <c r="G31" s="19" t="inlineStr">
        <is>
          <t>—</t>
        </is>
      </c>
      <c r="H31" s="19" t="inlineStr">
        <is>
          <t>No — used only in that teacher's sessions</t>
        </is>
      </c>
      <c r="I31" s="19" t="inlineStr">
        <is>
          <t>That teacher's class sessions</t>
        </is>
      </c>
      <c r="J31" s="19" t="inlineStr">
        <is>
          <t>—</t>
        </is>
      </c>
      <c r="K31" s="21" t="inlineStr">
        <is>
          <t>Teacher (TBC)</t>
        </is>
      </c>
      <c r="L31" s="21" t="inlineStr">
        <is>
          <t>Collecting</t>
        </is>
      </c>
      <c r="M31" s="21" t="n">
        <v>0</v>
      </c>
      <c r="N31" s="19">
        <f>COUNTIF('Capture log'!$B$3:$B$202,A31)</f>
        <v/>
      </c>
      <c r="O31" s="21" t="inlineStr">
        <is>
          <t>Pilot. Never in the benchmark without the teacher's written permission (log it under Permissions).</t>
        </is>
      </c>
    </row>
    <row r="32">
      <c r="A32" s="19" t="inlineStr">
        <is>
          <t>S31</t>
        </is>
      </c>
      <c r="B32" s="19" t="inlineStr">
        <is>
          <t>MMS-TTS voices (facebook/mms-tts-eng, -hau, -yor)</t>
        </is>
      </c>
      <c r="C32" s="19" t="inlineStr">
        <is>
          <t>Model (speech synthesis)</t>
        </is>
      </c>
      <c r="D32" s="19" t="inlineStr">
        <is>
          <t>English, Hausa, Yoruba</t>
        </is>
      </c>
      <c r="E32" s="20" t="inlineStr">
        <is>
          <t>https://huggingface.co/facebook/mms-tts-hau</t>
        </is>
      </c>
      <c r="F32" s="19" t="inlineStr">
        <is>
          <t>CC BY-NC 4.0</t>
        </is>
      </c>
      <c r="G32" s="19" t="inlineStr">
        <is>
          <t>Model card, 25 Oct 2026</t>
        </is>
      </c>
      <c r="H32" s="19" t="inlineStr">
        <is>
          <t>No — non-commercial testing only</t>
        </is>
      </c>
      <c r="I32" s="19" t="inlineStr">
        <is>
          <t>Synthetic quiz-answer clips (benchmark/asr/answers_bench.py)</t>
        </is>
      </c>
      <c r="J32" s="19" t="inlineStr">
        <is>
          <t>MMS, Meta AI, CC BY-NC 4.0</t>
        </is>
      </c>
      <c r="K32" s="21" t="inlineStr">
        <is>
          <t>Daniel</t>
        </is>
      </c>
      <c r="L32" s="21" t="inlineStr">
        <is>
          <t>Done</t>
        </is>
      </c>
      <c r="M32" s="21" t="n">
        <v>0</v>
      </c>
      <c r="N32" s="19">
        <f>COUNTIF('Capture log'!$B$3:$B$202,A32)</f>
        <v/>
      </c>
      <c r="O32" s="21" t="inlineStr">
        <is>
          <t>Clips cached outside the repo, never published.</t>
        </is>
      </c>
    </row>
    <row r="33">
      <c r="A33" s="19" t="inlineStr">
        <is>
          <t>S32</t>
        </is>
      </c>
      <c r="B33" s="19" t="inlineStr">
        <is>
          <t>VITS OpenBible Igbo voice</t>
        </is>
      </c>
      <c r="C33" s="19" t="inlineStr">
        <is>
          <t>Model (speech synthesis)</t>
        </is>
      </c>
      <c r="D33" s="19" t="inlineStr">
        <is>
          <t>Igbo</t>
        </is>
      </c>
      <c r="E33" s="20" t="inlineStr">
        <is>
          <t>https://huggingface.co/multilingual-tts/VITS-OpenBible-Igbo</t>
        </is>
      </c>
      <c r="F33" s="19" t="inlineStr">
        <is>
          <t>CC BY-SA 4.0</t>
        </is>
      </c>
      <c r="G33" s="19" t="inlineStr">
        <is>
          <t>Model card, 25 Oct 2026</t>
        </is>
      </c>
      <c r="H33" s="19" t="inlineStr">
        <is>
          <t>No — clips not published</t>
        </is>
      </c>
      <c r="I33" s="19" t="inlineStr">
        <is>
          <t>Igbo quiz-answer clips (MMS has no Igbo voice)</t>
        </is>
      </c>
      <c r="J33" s="19" t="inlineStr">
        <is>
          <t>VITS-OpenBible-Igbo, multilingual-tts, CC BY-SA 4.0</t>
        </is>
      </c>
      <c r="K33" s="21" t="inlineStr">
        <is>
          <t>Daniel</t>
        </is>
      </c>
      <c r="L33" s="21" t="inlineStr">
        <is>
          <t>Done</t>
        </is>
      </c>
      <c r="M33" s="21" t="n">
        <v>0</v>
      </c>
      <c r="N33" s="19">
        <f>COUNTIF('Capture log'!$B$3:$B$202,A33)</f>
        <v/>
      </c>
      <c r="O33" s="21" t="inlineStr"/>
    </row>
    <row r="34">
      <c r="A34" s="19" t="inlineStr">
        <is>
          <t>S33</t>
        </is>
      </c>
      <c r="B34" s="19" t="inlineStr">
        <is>
          <t>Magana LoRA training set</t>
        </is>
      </c>
      <c r="C34" s="19" t="inlineStr">
        <is>
          <t>Own content</t>
        </is>
      </c>
      <c r="D34" s="19" t="inlineStr">
        <is>
          <t>English (Hausa, Yoruba, Igbo drafts)</t>
        </is>
      </c>
      <c r="E34" s="20" t="inlineStr">
        <is>
          <t>data/lora/ (repo)</t>
        </is>
      </c>
      <c r="F34" s="19" t="inlineStr">
        <is>
          <t>Our own, released CC BY 4.0</t>
        </is>
      </c>
      <c r="G34" s="19" t="inlineStr">
        <is>
          <t>N/A — our own</t>
        </is>
      </c>
      <c r="H34" s="19" t="inlineStr">
        <is>
          <t>Yes</t>
        </is>
      </c>
      <c r="I34" s="19" t="inlineStr">
        <is>
          <t>Training the Magana-ATLAS LoRA (placeholder explanations, refusals)</t>
        </is>
      </c>
      <c r="J34" s="19" t="inlineStr">
        <is>
          <t>Magana Learn team, CC BY 4.0</t>
        </is>
      </c>
      <c r="K34" s="21" t="inlineStr">
        <is>
          <t>Daniel</t>
        </is>
      </c>
      <c r="L34" s="21" t="inlineStr">
        <is>
          <t>Collecting</t>
        </is>
      </c>
      <c r="M34" s="21" t="n">
        <v>0</v>
      </c>
      <c r="N34" s="19">
        <f>COUNTIF('Capture log'!$B$3:$B$202,A34)</f>
        <v/>
      </c>
      <c r="O34" s="21" t="inlineStr">
        <is>
          <t>30 pages, 80 English examples. Non-English only after native review. No benchmark page or topic used.</t>
        </is>
      </c>
    </row>
    <row r="35">
      <c r="A35" s="13" t="inlineStr">
        <is>
          <t>S34</t>
        </is>
      </c>
      <c r="B35" s="13" t="inlineStr">
        <is>
          <t>Nigeria's states and local government areas (36 states + FCT, 774 LGAs)</t>
        </is>
      </c>
      <c r="C35" s="13" t="inlineStr">
        <is>
          <t>Reference data (places)</t>
        </is>
      </c>
      <c r="D35" s="13" t="inlineStr">
        <is>
          <t>English (place names)</t>
        </is>
      </c>
      <c r="E35" s="13" t="inlineStr">
        <is>
          <t>https://github.com/xosasx/nigerian-local-government-areas</t>
        </is>
      </c>
      <c r="F35" s="13" t="inlineStr">
        <is>
          <t>MIT (© 2022 Osas Obazee); state codes ISO 3166-2:NG; LGA codes Magana's own (NG-LA-IKEJA); Wikidata IDs kept (CC0), 3 of them shared by same-name LGAs in two states</t>
        </is>
      </c>
      <c r="G35" s="13" t="inlineStr">
        <is>
          <t>Verified 25 Oct 2026</t>
        </is>
      </c>
      <c r="H35" s="13" t="inlineStr">
        <is>
          <t>Yes, with the MIT notice (content/places/LICENSE-ng-lgas.txt)</t>
        </is>
      </c>
      <c r="I35" s="13" t="inlineStr">
        <is>
          <t>State and LGA pickers (school registration and anywhere Magana asks for a location), stored as codes</t>
        </is>
      </c>
      <c r="J35" s="13" t="inlineStr">
        <is>
          <t>Nigerian LGAs by Osas Obazee, MIT licence; Wikidata</t>
        </is>
      </c>
      <c r="K35" s="13" t="inlineStr">
        <is>
          <t>Daniel</t>
        </is>
      </c>
      <c r="L35" s="13" t="inlineStr">
        <is>
          <t>In use: content/places/ng_states_lgas.json</t>
        </is>
      </c>
      <c r="O35" s="13" t="inlineStr">
        <is>
          <t>Counts checked by backend/tests/test_places.py: 37 states and FCT, 774 LGAs, per-state counts (e.g. Lagos 20, Kano 44).</t>
        </is>
      </c>
    </row>
    <row r="36">
      <c r="A36" s="13" t="inlineStr">
        <is>
          <t>S35</t>
        </is>
      </c>
      <c r="B36" s="13" t="inlineStr">
        <is>
          <t>Wikipedia in Hausa, Yorùbá and Igbo</t>
        </is>
      </c>
      <c r="C36" s="13" t="inlineStr">
        <is>
          <t>Public text (encyclopaedia)</t>
        </is>
      </c>
      <c r="D36" s="13" t="inlineStr">
        <is>
          <t>Hausa, Yorùbá, Igbo</t>
        </is>
      </c>
      <c r="E36" s="13" t="inlineStr">
        <is>
          <t>https://ha.wikipedia.org · https://yo.wikipedia.org · https://ig.wikipedia.org</t>
        </is>
      </c>
      <c r="F36" s="13" t="inlineStr">
        <is>
          <t>CC BY-SA 4.0</t>
        </is>
      </c>
      <c r="G36" s="13" t="inlineStr">
        <is>
          <t>Verified 26 Oct 2026</t>
        </is>
      </c>
      <c r="H36" s="13" t="inlineStr">
        <is>
          <t>Yes, share-alike</t>
        </is>
      </c>
      <c r="I36" s="13" t="inlineStr">
        <is>
          <t>10 article extracts per language for the letter test (benchmark/letters/, with each article's link); word frequencies from the dumps of 26 Oct 2026 for the word lists (content/word_lists/)</t>
        </is>
      </c>
      <c r="J36" s="13" t="inlineStr">
        <is>
          <t>Text from Hausa, Yorùbá and Igbo Wikipedia, CC BY-SA 4.0</t>
        </is>
      </c>
      <c r="K36" s="13" t="inlineStr">
        <is>
          <t>Daniel</t>
        </is>
      </c>
      <c r="L36" s="13" t="inlineStr">
        <is>
          <t>In use: 30 extracts; 3 word lists</t>
        </is>
      </c>
      <c r="M36" t="n">
        <v>0</v>
      </c>
      <c r="N36" t="n">
        <v>0</v>
      </c>
      <c r="O36" s="13" t="inlineStr">
        <is>
          <t>Test pages are drawn, not photographed: not in the capture log. Word lists are derived works, CC BY-SA 4.0; not reviewed by native speakers.</t>
        </is>
      </c>
    </row>
    <row r="37">
      <c r="A37" s="13" t="inlineStr">
        <is>
          <t>S36</t>
        </is>
      </c>
      <c r="B37" s="13" t="inlineStr">
        <is>
          <t>English Wiktionary: Hausa, Yoruba and Igbo entries (kaikki.org extracts; Category:Igbo lemmas)</t>
        </is>
      </c>
      <c r="C37" s="13" t="inlineStr">
        <is>
          <t>Public dictionary</t>
        </is>
      </c>
      <c r="D37" s="13" t="inlineStr">
        <is>
          <t>Hausa, Yorùbá, Igbo</t>
        </is>
      </c>
      <c r="E37" s="13" t="inlineStr">
        <is>
          <t>https://kaikki.org/dictionary/ · https://en.wiktionary.org/wiki/Category:Igbo_lemmas</t>
        </is>
      </c>
      <c r="F37" s="13" t="inlineStr">
        <is>
          <t>CC BY-SA 4.0 (and GFDL)</t>
        </is>
      </c>
      <c r="G37" s="13" t="inlineStr">
        <is>
          <t>Verified 26 Oct 2026</t>
        </is>
      </c>
      <c r="H37" s="13" t="inlineStr">
        <is>
          <t>Yes, share-alike</t>
        </is>
      </c>
      <c r="I37" s="13" t="inlineStr">
        <is>
          <t>Words with special letters for the letter check (content/word_lists/)</t>
        </is>
      </c>
      <c r="J37" s="13" t="inlineStr">
        <is>
          <t>Wiktionary contributors, CC BY-SA 4.0; extracts by kaikki.org</t>
        </is>
      </c>
      <c r="K37" s="13" t="inlineStr">
        <is>
          <t>Daniel</t>
        </is>
      </c>
      <c r="L37" s="13" t="inlineStr">
        <is>
          <t>In use: 3 word lists</t>
        </is>
      </c>
      <c r="M37" t="n">
        <v>0</v>
      </c>
      <c r="N37" t="n">
        <v>0</v>
      </c>
      <c r="O37" s="13" t="inlineStr">
        <is>
          <t>Kept only where the spelling is at least 25% of the word's uses in that Wikipedia.</t>
        </is>
      </c>
    </row>
    <row r="38">
      <c r="A38" s="13" t="inlineStr">
        <is>
          <t>S37</t>
        </is>
      </c>
      <c r="B38" s="13" t="inlineStr">
        <is>
          <t>Team-written two-column textbook-style pages</t>
        </is>
      </c>
      <c r="C38" s="13" t="inlineStr">
        <is>
          <t>Own content</t>
        </is>
      </c>
      <c r="D38" s="13" t="inlineStr">
        <is>
          <t>English</t>
        </is>
      </c>
      <c r="E38" s="13" t="inlineStr">
        <is>
          <t>benchmark/columns/pages.json</t>
        </is>
      </c>
      <c r="F38" s="13" t="inlineStr">
        <is>
          <t>Our own, released CC BY 4.0</t>
        </is>
      </c>
      <c r="G38" s="13" t="inlineStr">
        <is>
          <t>N/A, our own</t>
        </is>
      </c>
      <c r="H38" s="13" t="inlineStr">
        <is>
          <t>Yes</t>
        </is>
      </c>
      <c r="I38" s="13" t="inlineStr">
        <is>
          <t>Two-column reading order and headings (scripts/column_order_test.py)</t>
        </is>
      </c>
      <c r="J38" s="13" t="inlineStr">
        <is>
          <t>Magana Learn team, CC BY 4.0</t>
        </is>
      </c>
      <c r="K38" s="13" t="inlineStr">
        <is>
          <t>Daniel</t>
        </is>
      </c>
      <c r="L38" s="13" t="inlineStr">
        <is>
          <t>In use: 10 pages</t>
        </is>
      </c>
      <c r="M38" t="n">
        <v>10</v>
      </c>
      <c r="N38" t="n">
        <v>0</v>
      </c>
      <c r="O38" s="13" t="inlineStr">
        <is>
          <t>Drawn, not photographed. Real photographed textbook pages still to come.</t>
        </is>
      </c>
    </row>
    <row r="39">
      <c r="A39" s="13" t="inlineStr">
        <is>
          <t>S38</t>
        </is>
      </c>
      <c r="B39" s="13" t="inlineStr">
        <is>
          <t>Tesseract tessdata_fast: yor and script/Latin models</t>
        </is>
      </c>
      <c r="C39" s="13" t="inlineStr">
        <is>
          <t>Model (OCR)</t>
        </is>
      </c>
      <c r="D39" s="13" t="inlineStr">
        <is>
          <t>Yorùbá; Latin-script languages</t>
        </is>
      </c>
      <c r="E39" s="13" t="inlineStr">
        <is>
          <t>https://github.com/tesseract-ocr/tessdata_fast</t>
        </is>
      </c>
      <c r="F39" s="13" t="inlineStr">
        <is>
          <t>Apache-2.0</t>
        </is>
      </c>
      <c r="G39" s="13" t="inlineStr">
        <is>
          <t>Verified 26 Oct 2026</t>
        </is>
      </c>
      <c r="H39" s="13" t="inlineStr">
        <is>
          <t>Yes</t>
        </is>
      </c>
      <c r="I39" s="13" t="inlineStr">
        <is>
          <t>Reading Yorùbá and Igbo pages again so fewer special letters are lost (backend/Dockerfile, pinned)</t>
        </is>
      </c>
      <c r="J39" s="13" t="inlineStr">
        <is>
          <t>Tesseract OCR tessdata_fast, Apache-2.0</t>
        </is>
      </c>
      <c r="K39" s="13" t="inlineStr">
        <is>
          <t>Daniel</t>
        </is>
      </c>
      <c r="L39" s="13" t="inlineStr">
        <is>
          <t>In use</t>
        </is>
      </c>
      <c r="M39" t="n">
        <v>0</v>
      </c>
      <c r="N39" t="n">
        <v>0</v>
      </c>
      <c r="O39" s="13" t="inlineStr"/>
    </row>
    <row r="40">
      <c r="A40" s="13" t="inlineStr">
        <is>
          <t>S39</t>
        </is>
      </c>
      <c r="B40" s="13" t="inlineStr">
        <is>
          <t>Google ML Kit Text Recognition v2 (Latin, bundled)</t>
        </is>
      </c>
      <c r="C40" s="13" t="inlineStr">
        <is>
          <t>Model (OCR, on the phone)</t>
        </is>
      </c>
      <c r="D40" s="13" t="inlineStr">
        <is>
          <t>Latin-script languages</t>
        </is>
      </c>
      <c r="E40" s="13" t="inlineStr">
        <is>
          <t>https://developers.google.com/ml-kit/vision/text-recognition/v2</t>
        </is>
      </c>
      <c r="F40" s="13" t="inlineStr">
        <is>
          <t>Google ML Kit terms (free; proprietary SDK)</t>
        </is>
      </c>
      <c r="G40" s="13" t="inlineStr">
        <is>
          <t>Verified 26 Oct 2026</t>
        </is>
      </c>
      <c r="H40" s="13" t="inlineStr">
        <is>
          <t>Ships inside the app; not redistributed separately</t>
        </is>
      </c>
      <c r="I40" s="13" t="inlineStr">
        <is>
          <t>Offline basic reading on the phone (app/lib/offline/)</t>
        </is>
      </c>
      <c r="J40" s="13" t="inlineStr">
        <is>
          <t>Text recognition by Google ML Kit</t>
        </is>
      </c>
      <c r="K40" s="13" t="inlineStr">
        <is>
          <t>Daniel</t>
        </is>
      </c>
      <c r="L40" s="13" t="inlineStr">
        <is>
          <t>In use</t>
        </is>
      </c>
      <c r="M40" t="n">
        <v>0</v>
      </c>
      <c r="N40" t="n">
        <v>0</v>
      </c>
      <c r="O40" s="13" t="inlineStr">
        <is>
          <t>Bundled model: nothing is downloaded or sent when reading offline.</t>
        </is>
      </c>
    </row>
    <row r="41">
      <c r="L41" s="13" t="n"/>
      <c r="M41" s="13" t="n"/>
      <c r="N41" s="13" t="n"/>
    </row>
    <row r="42">
      <c r="L42" s="13" t="inlineStr">
        <is>
          <t>Total</t>
        </is>
      </c>
      <c r="M42" s="13">
        <f>SUM(M2:M34)</f>
        <v/>
      </c>
      <c r="N42" s="13">
        <f>SUM(N2:N34)</f>
        <v/>
      </c>
    </row>
  </sheetData>
  <autoFilter ref="A1:O25"/>
  <dataValidations count="2">
    <dataValidation sqref="L2:L34" showDropDown="0" showInputMessage="0" showErrorMessage="0" allowBlank="1" type="list" errorStyle="stop" operator="between">
      <formula1>"Not started,Requested,Permission granted,Collecting,Done,Blocked"</formula1>
      <formula2>0</formula2>
    </dataValidation>
    <dataValidation sqref="K2:K34" showDropDown="0" showInputMessage="0" showErrorMessage="0" allowBlank="1" type="list" errorStyle="stop" operator="between">
      <formula1>"Daniel,Balogun,Dr. Amos,Teacher (TBC),Recruit (TBC)"</formula1>
      <formula2>0</formula2>
    </dataValidation>
  </dataValidations>
  <hyperlinks>
    <hyperlink xmlns:r="http://schemas.openxmlformats.org/officeDocument/2006/relationships" ref="E2" display="https://openstax.org/books/biology/pages/preface" r:id="rId1"/>
    <hyperlink xmlns:r="http://schemas.openxmlformats.org/officeDocument/2006/relationships" ref="E3" display="https://www.africanstorybook.org" r:id="rId2"/>
    <hyperlink xmlns:r="http://schemas.openxmlformats.org/officeDocument/2006/relationships" ref="E4" display="https://ebible.org/study/content/texts/hausa/about.html" r:id="rId3"/>
    <hyperlink xmlns:r="http://schemas.openxmlformats.org/officeDocument/2006/relationships" ref="E5" display="https://ebible.org/study/content/texts/hauulb/about.html" r:id="rId4"/>
    <hyperlink xmlns:r="http://schemas.openxmlformats.org/officeDocument/2006/relationships" ref="E6" display="https://ebible.org/study/content/texts/yor/about.html" r:id="rId5"/>
    <hyperlink xmlns:r="http://schemas.openxmlformats.org/officeDocument/2006/relationships" ref="E7" display="https://ebible.org/study/content/texts/ibo/about.html" r:id="rId6"/>
    <hyperlink xmlns:r="http://schemas.openxmlformats.org/officeDocument/2006/relationships" ref="E8" display="https://alquran.cloud/terms-and-conditions" r:id="rId7"/>
    <hyperlink xmlns:r="http://schemas.openxmlformats.org/officeDocument/2006/relationships" ref="E10" display="https://languages.hesperian.org/pages/sd/pdf.html" r:id="rId8"/>
    <hyperlink xmlns:r="http://schemas.openxmlformats.org/officeDocument/2006/relationships" ref="E11" display="https://waeckonnect.com" r:id="rId9"/>
    <hyperlink xmlns:r="http://schemas.openxmlformats.org/officeDocument/2006/relationships" ref="E12" display="https://neco.gov.ng" r:id="rId10"/>
    <hyperlink xmlns:r="http://schemas.openxmlformats.org/officeDocument/2006/relationships" ref="E13" display="https://jamb.gov.ng" r:id="rId11"/>
    <hyperlink xmlns:r="http://schemas.openxmlformats.org/officeDocument/2006/relationships" ref="E18" display="https://github.com/DS4SD/DocLayNet" r:id="rId12"/>
    <hyperlink xmlns:r="http://schemas.openxmlformats.org/officeDocument/2006/relationships" ref="E19" display="https://github.com/ibm-aur-nlp/PubTabNet" r:id="rId13"/>
    <hyperlink xmlns:r="http://schemas.openxmlformats.org/officeDocument/2006/relationships" ref="E22" display="https://huggingface.co/datasets/google/fleurs" r:id="rId14"/>
    <hyperlink xmlns:r="http://schemas.openxmlformats.org/officeDocument/2006/relationships" ref="E23" display="https://huggingface.co/datasets/intronhealth/afrispeech-200" r:id="rId15"/>
    <hyperlink xmlns:r="http://schemas.openxmlformats.org/officeDocument/2006/relationships" ref="E25" display="https://github.com/masakhane-io/lafand-mt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3" min="1" max="1"/>
    <col width="10" customWidth="1" style="13" min="2" max="2"/>
    <col width="14" customWidth="1" style="13" min="3" max="4"/>
    <col width="12" customWidth="1" style="13" min="5" max="5"/>
    <col width="18" customWidth="1" style="13" min="6" max="6"/>
    <col width="14" customWidth="1" style="13" min="7" max="7"/>
    <col width="30" customWidth="1" style="13" min="8" max="8"/>
    <col width="14" customWidth="1" style="13" min="9" max="9"/>
    <col width="16" customWidth="1" style="13" min="10" max="10"/>
    <col width="12" customWidth="1" style="13" min="11" max="12"/>
    <col width="36" customWidth="1" style="13" min="13" max="13"/>
    <col width="14" customWidth="1" style="13" min="15" max="15"/>
  </cols>
  <sheetData>
    <row r="1" ht="26.85" customHeight="1" s="14">
      <c r="A1" s="22" t="inlineStr">
        <is>
          <t>Page ID</t>
        </is>
      </c>
      <c r="B1" s="22" t="inlineStr">
        <is>
          <t>Source ID</t>
        </is>
      </c>
      <c r="C1" s="22" t="inlineStr">
        <is>
          <t>Subject</t>
        </is>
      </c>
      <c r="D1" s="22" t="inlineStr">
        <is>
          <t>Content type</t>
        </is>
      </c>
      <c r="E1" s="22" t="inlineStr">
        <is>
          <t>Language</t>
        </is>
      </c>
      <c r="F1" s="22" t="inlineStr">
        <is>
          <t>Phone model</t>
        </is>
      </c>
      <c r="G1" s="22" t="inlineStr">
        <is>
          <t>Lighting</t>
        </is>
      </c>
      <c r="H1" s="22" t="inlineStr">
        <is>
          <t>Photo file name</t>
        </is>
      </c>
      <c r="I1" s="22" t="inlineStr">
        <is>
          <t>Ground truth done?</t>
        </is>
      </c>
      <c r="J1" s="22" t="inlineStr">
        <is>
          <t>Contains personal data?</t>
        </is>
      </c>
      <c r="K1" s="22" t="inlineStr">
        <is>
          <t>Captured by</t>
        </is>
      </c>
      <c r="L1" s="22" t="inlineStr">
        <is>
          <t>Date</t>
        </is>
      </c>
      <c r="M1" s="22" t="inlineStr">
        <is>
          <t>Notes</t>
        </is>
      </c>
      <c r="O1" s="23" t="inlineStr">
        <is>
          <t>Pages logged</t>
        </is>
      </c>
    </row>
    <row r="2" ht="15" customHeight="1" s="14">
      <c r="A2" s="24" t="inlineStr">
        <is>
          <t>P001</t>
        </is>
      </c>
      <c r="B2" s="24" t="inlineStr">
        <is>
          <t>S01</t>
        </is>
      </c>
      <c r="C2" s="24" t="inlineStr">
        <is>
          <t>Biology</t>
        </is>
      </c>
      <c r="D2" s="24" t="inlineStr">
        <is>
          <t>Table</t>
        </is>
      </c>
      <c r="E2" s="24" t="inlineStr">
        <is>
          <t>English</t>
        </is>
      </c>
      <c r="F2" s="24" t="inlineStr">
        <is>
          <t>Tecno Spark (example)</t>
        </is>
      </c>
      <c r="G2" s="24" t="inlineStr">
        <is>
          <t>Dim indoor</t>
        </is>
      </c>
      <c r="H2" s="24" t="inlineStr">
        <is>
          <t>P001_S01_biology_table.jpg</t>
        </is>
      </c>
      <c r="I2" s="24" t="inlineStr">
        <is>
          <t>No</t>
        </is>
      </c>
      <c r="J2" s="24" t="inlineStr">
        <is>
          <t>No</t>
        </is>
      </c>
      <c r="K2" s="24" t="inlineStr">
        <is>
          <t>Daniel</t>
        </is>
      </c>
      <c r="L2" s="24" t="inlineStr">
        <is>
          <t>2026-11-01</t>
        </is>
      </c>
      <c r="M2" s="24" t="inlineStr">
        <is>
          <t>EXAMPLE ROW — replace with real entries</t>
        </is>
      </c>
      <c r="O2" s="25">
        <f>COUNTA(A3:A202)</f>
        <v/>
      </c>
    </row>
    <row r="3" ht="15" customHeight="1" s="14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</row>
    <row r="4" ht="15" customHeight="1" s="14">
      <c r="A4" s="26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</row>
    <row r="5" ht="15" customHeight="1" s="14">
      <c r="A5" s="26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</row>
    <row r="6" ht="15" customHeight="1" s="14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</row>
    <row r="7" ht="15" customHeight="1" s="14">
      <c r="A7" s="26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</row>
    <row r="8" ht="15" customHeight="1" s="14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</row>
    <row r="9" ht="15" customHeight="1" s="14">
      <c r="A9" s="26" t="n"/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ht="15" customHeight="1" s="14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</row>
    <row r="11" ht="15" customHeight="1" s="14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</row>
    <row r="12" ht="15" customHeight="1" s="14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</row>
    <row r="13" ht="15" customHeight="1" s="14">
      <c r="A13" s="26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</row>
    <row r="14" ht="15" customHeight="1" s="14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</row>
    <row r="15" ht="15" customHeight="1" s="14">
      <c r="A15" s="26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</row>
    <row r="16" ht="15" customHeight="1" s="14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</row>
    <row r="17" ht="15" customHeight="1" s="14">
      <c r="A17" s="26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</row>
    <row r="18" ht="15" customHeight="1" s="14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</row>
    <row r="19" ht="15" customHeight="1" s="14">
      <c r="A19" s="26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</row>
    <row r="20" ht="15" customHeight="1" s="14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</row>
    <row r="21" ht="15" customHeight="1" s="14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</row>
    <row r="22" ht="15" customHeight="1" s="14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</row>
    <row r="23" ht="15" customHeight="1" s="14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</row>
    <row r="24" ht="15" customHeight="1" s="14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</row>
    <row r="25" ht="15" customHeight="1" s="14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</row>
    <row r="26" ht="15" customHeight="1" s="14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</row>
    <row r="27" ht="15" customHeight="1" s="14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</row>
    <row r="28" ht="15" customHeight="1" s="14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</row>
    <row r="29" ht="15" customHeight="1" s="14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</row>
    <row r="30" ht="15" customHeight="1" s="14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</row>
    <row r="31" ht="15" customHeight="1" s="14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</row>
    <row r="32" ht="15" customHeight="1" s="14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</row>
    <row r="33" ht="15" customHeight="1" s="14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</row>
    <row r="34" ht="15" customHeight="1" s="14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</row>
    <row r="35" ht="15" customHeight="1" s="14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</row>
    <row r="36" ht="15" customHeight="1" s="14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</row>
    <row r="37" ht="15" customHeight="1" s="14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</row>
    <row r="38" ht="15" customHeight="1" s="14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</row>
    <row r="39" ht="15" customHeight="1" s="14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</row>
    <row r="40" ht="15" customHeight="1" s="14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</row>
    <row r="41" ht="15" customHeight="1" s="14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</row>
    <row r="42" ht="15" customHeight="1" s="14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 ht="15" customHeight="1" s="14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 s="14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</row>
    <row r="45" ht="15" customHeight="1" s="14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</row>
    <row r="46" ht="15" customHeight="1" s="14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</row>
    <row r="47" ht="15" customHeight="1" s="14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</row>
    <row r="48" ht="15" customHeight="1" s="14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</row>
    <row r="49" ht="15" customHeight="1" s="14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</row>
    <row r="50" ht="15" customHeight="1" s="14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</row>
    <row r="51" ht="15" customHeight="1" s="14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</row>
    <row r="52" ht="15" customHeight="1" s="14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</row>
    <row r="53" ht="15" customHeight="1" s="14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</row>
    <row r="54" ht="15" customHeight="1" s="14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</row>
    <row r="55" ht="15" customHeight="1" s="14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</row>
    <row r="56" ht="15" customHeight="1" s="14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</row>
    <row r="57" ht="15" customHeight="1" s="14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</row>
    <row r="58" ht="15" customHeight="1" s="14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</row>
    <row r="59" ht="15" customHeight="1" s="14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</row>
    <row r="60" ht="15" customHeight="1" s="14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</row>
    <row r="61" ht="15" customHeight="1" s="14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</row>
    <row r="62" ht="15" customHeight="1" s="14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</row>
    <row r="63" ht="15" customHeight="1" s="14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</row>
    <row r="64" ht="15" customHeight="1" s="14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</row>
    <row r="65" ht="15" customHeight="1" s="14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</row>
    <row r="66" ht="15" customHeight="1" s="14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</row>
    <row r="67" ht="15" customHeight="1" s="14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</row>
    <row r="68" ht="15" customHeight="1" s="14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</row>
    <row r="69" ht="15" customHeight="1" s="14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</row>
    <row r="70" ht="15" customHeight="1" s="14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</row>
    <row r="71" ht="15" customHeight="1" s="14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</row>
    <row r="72" ht="15" customHeight="1" s="14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</row>
    <row r="73" ht="15" customHeight="1" s="14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</row>
    <row r="74" ht="15" customHeight="1" s="14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</row>
    <row r="75" ht="15" customHeight="1" s="14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</row>
    <row r="76" ht="15" customHeight="1" s="14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</row>
    <row r="77" ht="15" customHeight="1" s="14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</row>
    <row r="78" ht="15" customHeight="1" s="14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</row>
    <row r="79" ht="15" customHeight="1" s="14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</row>
    <row r="80" ht="15" customHeight="1" s="14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</row>
    <row r="81" ht="15" customHeight="1" s="14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</row>
    <row r="82" ht="15" customHeight="1" s="14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</row>
    <row r="83" ht="15" customHeight="1" s="14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</row>
    <row r="84" ht="15" customHeight="1" s="14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</row>
    <row r="85" ht="15" customHeight="1" s="14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</row>
    <row r="86" ht="15" customHeight="1" s="14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</row>
    <row r="87" ht="15" customHeight="1" s="14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</row>
    <row r="88" ht="15" customHeight="1" s="14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</row>
    <row r="89" ht="15" customHeight="1" s="14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</row>
    <row r="90" ht="15" customHeight="1" s="14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</row>
    <row r="91" ht="15" customHeight="1" s="14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</row>
    <row r="92" ht="15" customHeight="1" s="14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</row>
    <row r="93" ht="15" customHeight="1" s="14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</row>
    <row r="94" ht="15" customHeight="1" s="14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</row>
    <row r="95" ht="15" customHeight="1" s="14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</row>
    <row r="96" ht="15" customHeight="1" s="14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</row>
    <row r="97" ht="15" customHeight="1" s="14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</row>
    <row r="98" ht="15" customHeight="1" s="14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</row>
    <row r="99" ht="15" customHeight="1" s="14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</row>
    <row r="100" ht="15" customHeight="1" s="14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</row>
    <row r="101" ht="15" customHeight="1" s="14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</row>
    <row r="102" ht="15" customHeight="1" s="14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</row>
    <row r="103" ht="15" customHeight="1" s="14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</row>
    <row r="104" ht="15" customHeight="1" s="14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</row>
    <row r="105" ht="15" customHeight="1" s="14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</row>
    <row r="106" ht="15" customHeight="1" s="14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</row>
    <row r="107" ht="15" customHeight="1" s="14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</row>
    <row r="108" ht="15" customHeight="1" s="14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</row>
    <row r="109" ht="15" customHeight="1" s="14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</row>
    <row r="110" ht="15" customHeight="1" s="14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</row>
    <row r="111" ht="15" customHeight="1" s="14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</row>
    <row r="112" ht="15" customHeight="1" s="14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</row>
    <row r="113" ht="15" customHeight="1" s="14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</row>
    <row r="114" ht="15" customHeight="1" s="14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</row>
    <row r="115" ht="15" customHeight="1" s="14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</row>
    <row r="116" ht="15" customHeight="1" s="14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</row>
    <row r="117" ht="15" customHeight="1" s="14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</row>
    <row r="118" ht="15" customHeight="1" s="14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</row>
    <row r="119" ht="15" customHeight="1" s="14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</row>
    <row r="120" ht="15" customHeight="1" s="14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</row>
    <row r="121" ht="15" customHeight="1" s="14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</row>
    <row r="122" ht="15" customHeight="1" s="14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</row>
    <row r="123" ht="15" customHeight="1" s="14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</row>
    <row r="124" ht="15" customHeight="1" s="14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</row>
    <row r="125" ht="15" customHeight="1" s="14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</row>
    <row r="126" ht="15" customHeight="1" s="14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</row>
    <row r="127" ht="15" customHeight="1" s="14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</row>
    <row r="128" ht="15" customHeight="1" s="14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</row>
    <row r="129" ht="15" customHeight="1" s="14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</row>
    <row r="130" ht="15" customHeight="1" s="14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</row>
    <row r="131" ht="15" customHeight="1" s="14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</row>
    <row r="132" ht="15" customHeight="1" s="14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</row>
    <row r="133" ht="15" customHeight="1" s="14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</row>
    <row r="134" ht="15" customHeight="1" s="14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</row>
    <row r="135" ht="15" customHeight="1" s="14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</row>
    <row r="136" ht="15" customHeight="1" s="14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</row>
    <row r="137" ht="15" customHeight="1" s="14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</row>
    <row r="138" ht="15" customHeight="1" s="14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</row>
    <row r="139" ht="15" customHeight="1" s="14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</row>
    <row r="140" ht="15" customHeight="1" s="14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</row>
    <row r="141" ht="15" customHeight="1" s="14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</row>
    <row r="142" ht="15" customHeight="1" s="14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</row>
    <row r="143" ht="15" customHeight="1" s="14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</row>
    <row r="144" ht="15" customHeight="1" s="14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</row>
    <row r="145" ht="15" customHeight="1" s="14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</row>
    <row r="146" ht="15" customHeight="1" s="14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</row>
    <row r="147" ht="15" customHeight="1" s="14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</row>
    <row r="148" ht="15" customHeight="1" s="14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</row>
    <row r="149" ht="15" customHeight="1" s="14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</row>
    <row r="150" ht="15" customHeight="1" s="14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</row>
    <row r="151" ht="15" customHeight="1" s="14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</row>
    <row r="152" ht="15" customHeight="1" s="14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</row>
    <row r="153" ht="15" customHeight="1" s="14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</row>
    <row r="154" ht="15" customHeight="1" s="14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</row>
    <row r="155" ht="15" customHeight="1" s="14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</row>
    <row r="156" ht="15" customHeight="1" s="14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</row>
    <row r="157" ht="15" customHeight="1" s="14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</row>
    <row r="158" ht="15" customHeight="1" s="14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</row>
    <row r="159" ht="15" customHeight="1" s="14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</row>
    <row r="160" ht="15" customHeight="1" s="14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</row>
    <row r="161" ht="15" customHeight="1" s="14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</row>
    <row r="162" ht="15" customHeight="1" s="14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</row>
    <row r="163" ht="15" customHeight="1" s="14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</row>
    <row r="164" ht="15" customHeight="1" s="14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</row>
    <row r="165" ht="15" customHeight="1" s="14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</row>
    <row r="166" ht="15" customHeight="1" s="14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</row>
    <row r="167" ht="15" customHeight="1" s="14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</row>
    <row r="168" ht="15" customHeight="1" s="14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</row>
    <row r="169" ht="15" customHeight="1" s="14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</row>
    <row r="170" ht="15" customHeight="1" s="14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</row>
    <row r="171" ht="15" customHeight="1" s="14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</row>
    <row r="172" ht="15" customHeight="1" s="14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</row>
    <row r="173" ht="15" customHeight="1" s="14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</row>
    <row r="174" ht="15" customHeight="1" s="14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</row>
    <row r="175" ht="15" customHeight="1" s="14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</row>
    <row r="176" ht="15" customHeight="1" s="14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</row>
    <row r="177" ht="15" customHeight="1" s="14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</row>
    <row r="178" ht="15" customHeight="1" s="14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</row>
    <row r="179" ht="15" customHeight="1" s="14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</row>
    <row r="180" ht="15" customHeight="1" s="14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</row>
    <row r="181" ht="15" customHeight="1" s="14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</row>
    <row r="182" ht="15" customHeight="1" s="14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</row>
    <row r="183" ht="15" customHeight="1" s="14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</row>
    <row r="184" ht="15" customHeight="1" s="14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</row>
    <row r="185" ht="15" customHeight="1" s="14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</row>
    <row r="186" ht="15" customHeight="1" s="14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</row>
    <row r="187" ht="15" customHeight="1" s="14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</row>
    <row r="188" ht="15" customHeight="1" s="14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</row>
    <row r="189" ht="15" customHeight="1" s="14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</row>
    <row r="190" ht="15" customHeight="1" s="14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</row>
    <row r="191" ht="15" customHeight="1" s="14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</row>
    <row r="192" ht="15" customHeight="1" s="14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</row>
    <row r="193" ht="15" customHeight="1" s="14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</row>
    <row r="194" ht="15" customHeight="1" s="14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</row>
    <row r="195" ht="15" customHeight="1" s="14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</row>
    <row r="196" ht="15" customHeight="1" s="14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</row>
    <row r="197" ht="15" customHeight="1" s="14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</row>
    <row r="198" ht="15" customHeight="1" s="14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</row>
    <row r="199" ht="15" customHeight="1" s="14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</row>
    <row r="200" ht="15" customHeight="1" s="14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</row>
    <row r="201" ht="15" customHeight="1" s="14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</row>
    <row r="202" ht="15" customHeight="1" s="14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</row>
  </sheetData>
  <dataValidations count="5">
    <dataValidation sqref="D2:D202" showDropDown="0" showInputMessage="0" showErrorMessage="0" allowBlank="1" type="list" errorStyle="stop" operator="between">
      <formula1>"Plain text,Table,Maths,Diagram,Mixed,Daily-life"</formula1>
      <formula2>0</formula2>
    </dataValidation>
    <dataValidation sqref="E2:E202" showDropDown="0" showInputMessage="0" showErrorMessage="0" allowBlank="1" type="list" errorStyle="stop" operator="between">
      <formula1>"English,Hausa,Yoruba,Igbo,Arabic,Mixed"</formula1>
      <formula2>0</formula2>
    </dataValidation>
    <dataValidation sqref="G2:G202" showDropDown="0" showInputMessage="0" showErrorMessage="0" allowBlank="1" type="list" errorStyle="stop" operator="between">
      <formula1>"Good daylight,Dim indoor,Phone torch,Shadow/glare"</formula1>
      <formula2>0</formula2>
    </dataValidation>
    <dataValidation sqref="I2:I202" showDropDown="0" showInputMessage="0" showErrorMessage="0" allowBlank="1" type="list" errorStyle="stop" operator="between">
      <formula1>"Yes,No"</formula1>
      <formula2>0</formula2>
    </dataValidation>
    <dataValidation sqref="J2:J202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24" customWidth="1" style="13" min="2" max="2"/>
    <col width="26" customWidth="1" style="13" min="3" max="3"/>
    <col width="30" customWidth="1" style="13" min="4" max="4"/>
    <col width="18" customWidth="1" style="13" min="5" max="5"/>
    <col width="34" customWidth="1" style="13" min="6" max="6"/>
    <col width="30" customWidth="1" style="13" min="7" max="7"/>
    <col width="12" customWidth="1" style="13" min="8" max="8"/>
  </cols>
  <sheetData>
    <row r="1" ht="26.85" customHeight="1" s="14">
      <c r="A1" s="22" t="inlineStr">
        <is>
          <t>Source ID</t>
        </is>
      </c>
      <c r="B1" s="22" t="inlineStr">
        <is>
          <t>Person</t>
        </is>
      </c>
      <c r="C1" s="22" t="inlineStr">
        <is>
          <t>Organisation / school</t>
        </is>
      </c>
      <c r="D1" s="22" t="inlineStr">
        <is>
          <t>Material covered</t>
        </is>
      </c>
      <c r="E1" s="22" t="inlineStr">
        <is>
          <t>Permission given (date)</t>
        </is>
      </c>
      <c r="F1" s="22" t="inlineStr">
        <is>
          <t>Evidence (form, email, WhatsApp screenshot)</t>
        </is>
      </c>
      <c r="G1" s="22" t="inlineStr">
        <is>
          <t>Restrictions</t>
        </is>
      </c>
      <c r="H1" s="22" t="inlineStr">
        <is>
          <t>Logged by</t>
        </is>
      </c>
    </row>
    <row r="2" ht="15" customHeight="1" s="14">
      <c r="A2" s="24" t="inlineStr">
        <is>
          <t>S13</t>
        </is>
      </c>
      <c r="B2" s="24" t="inlineStr">
        <is>
          <t>[Teacher name] (example)</t>
        </is>
      </c>
      <c r="C2" s="24" t="inlineStr">
        <is>
          <t>[School]</t>
        </is>
      </c>
      <c r="D2" s="24" t="inlineStr">
        <is>
          <t>Biology &amp; Maths notes, SS2</t>
        </is>
      </c>
      <c r="E2" s="24" t="inlineStr">
        <is>
          <t>2026-11-02</t>
        </is>
      </c>
      <c r="F2" s="24" t="inlineStr">
        <is>
          <t>Signed form in team drive</t>
        </is>
      </c>
      <c r="G2" s="24" t="inlineStr">
        <is>
          <t>Blank copies only; credit by name</t>
        </is>
      </c>
      <c r="H2" s="24" t="inlineStr">
        <is>
          <t>Daniel</t>
        </is>
      </c>
    </row>
    <row r="3" ht="15" customHeight="1" s="14">
      <c r="A3" s="26" t="n"/>
      <c r="B3" s="26" t="n"/>
      <c r="C3" s="26" t="n"/>
      <c r="D3" s="26" t="n"/>
      <c r="E3" s="26" t="n"/>
      <c r="F3" s="26" t="n"/>
      <c r="G3" s="26" t="n"/>
      <c r="H3" s="26" t="n"/>
    </row>
    <row r="4" ht="15" customHeight="1" s="14">
      <c r="A4" s="26" t="n"/>
      <c r="B4" s="26" t="n"/>
      <c r="C4" s="26" t="n"/>
      <c r="D4" s="26" t="n"/>
      <c r="E4" s="26" t="n"/>
      <c r="F4" s="26" t="n"/>
      <c r="G4" s="26" t="n"/>
      <c r="H4" s="26" t="n"/>
    </row>
    <row r="5" ht="15" customHeight="1" s="14">
      <c r="A5" s="26" t="n"/>
      <c r="B5" s="26" t="n"/>
      <c r="C5" s="26" t="n"/>
      <c r="D5" s="26" t="n"/>
      <c r="E5" s="26" t="n"/>
      <c r="F5" s="26" t="n"/>
      <c r="G5" s="26" t="n"/>
      <c r="H5" s="26" t="n"/>
    </row>
    <row r="6" ht="15" customHeight="1" s="14">
      <c r="A6" s="26" t="n"/>
      <c r="B6" s="26" t="n"/>
      <c r="C6" s="26" t="n"/>
      <c r="D6" s="26" t="n"/>
      <c r="E6" s="26" t="n"/>
      <c r="F6" s="26" t="n"/>
      <c r="G6" s="26" t="n"/>
      <c r="H6" s="26" t="n"/>
    </row>
    <row r="7" ht="15" customHeight="1" s="14">
      <c r="A7" s="26" t="n"/>
      <c r="B7" s="26" t="n"/>
      <c r="C7" s="26" t="n"/>
      <c r="D7" s="26" t="n"/>
      <c r="E7" s="26" t="n"/>
      <c r="F7" s="26" t="n"/>
      <c r="G7" s="26" t="n"/>
      <c r="H7" s="26" t="n"/>
    </row>
    <row r="8" ht="15" customHeight="1" s="14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14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14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14">
      <c r="A11" s="26" t="n"/>
      <c r="B11" s="26" t="n"/>
      <c r="C11" s="26" t="n"/>
      <c r="D11" s="26" t="n"/>
      <c r="E11" s="26" t="n"/>
      <c r="F11" s="26" t="n"/>
      <c r="G11" s="26" t="n"/>
      <c r="H11" s="26" t="n"/>
    </row>
    <row r="12" ht="15" customHeight="1" s="14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14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14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14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14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14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14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14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14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15" customHeight="1" s="14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14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14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15" customHeight="1" s="14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15" customHeight="1" s="14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14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14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14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14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14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14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15" customHeight="1" s="14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14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14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14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14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14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14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14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15" customHeight="1" s="14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14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14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14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15" customHeight="1" s="14">
      <c r="A44" s="26" t="n"/>
      <c r="B44" s="26" t="n"/>
      <c r="C44" s="26" t="n"/>
      <c r="D44" s="26" t="n"/>
      <c r="E44" s="26" t="n"/>
      <c r="F44" s="26" t="n"/>
      <c r="G44" s="26" t="n"/>
      <c r="H44" s="26" t="n"/>
    </row>
    <row r="45" ht="15" customHeight="1" s="14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15" customHeight="1" s="14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14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14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14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14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14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14">
      <c r="A52" s="26" t="n"/>
      <c r="B52" s="26" t="n"/>
      <c r="C52" s="26" t="n"/>
      <c r="D52" s="26" t="n"/>
      <c r="E52" s="26" t="n"/>
      <c r="F52" s="26" t="n"/>
      <c r="G52" s="26" t="n"/>
      <c r="H52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0" customWidth="1" style="13" min="1" max="1"/>
  </cols>
  <sheetData>
    <row r="1" ht="15" customHeight="1" s="14">
      <c r="A1" s="23" t="inlineStr">
        <is>
          <t>Attribution lines for the README and documentation (auto-built from Sources; publishable sources only)</t>
        </is>
      </c>
    </row>
    <row r="2" ht="15" customHeight="1" s="14">
      <c r="A2" s="25" t="inlineStr">
        <is>
          <t>Copy column A into CREDITS.md. Credit is required, but it does not replace permission for copyrighted material.</t>
        </is>
      </c>
    </row>
    <row r="4" ht="15" customHeight="1" s="14">
      <c r="A4" s="25">
        <f>IF(LEFT(Sources!H2,3)="Yes",Sources!B2&amp;" — "&amp;Sources!J2&amp;" — "&amp;Sources!E2,"")</f>
        <v/>
      </c>
    </row>
    <row r="5" ht="15" customHeight="1" s="14">
      <c r="A5" s="25">
        <f>IF(LEFT(Sources!H3,3)="Yes",Sources!B3&amp;" — "&amp;Sources!J3&amp;" — "&amp;Sources!E3,"")</f>
        <v/>
      </c>
    </row>
    <row r="6" ht="15" customHeight="1" s="14">
      <c r="A6" s="25">
        <f>IF(LEFT(Sources!H4,3)="Yes",Sources!B4&amp;" — "&amp;Sources!J4&amp;" — "&amp;Sources!E4,"")</f>
        <v/>
      </c>
    </row>
    <row r="7" ht="15" customHeight="1" s="14">
      <c r="A7" s="25">
        <f>IF(LEFT(Sources!H5,3)="Yes",Sources!B5&amp;" — "&amp;Sources!J5&amp;" — "&amp;Sources!E5,"")</f>
        <v/>
      </c>
    </row>
    <row r="8" ht="15" customHeight="1" s="14">
      <c r="A8" s="25">
        <f>IF(LEFT(Sources!H6,3)="Yes",Sources!B6&amp;" — "&amp;Sources!J6&amp;" — "&amp;Sources!E6,"")</f>
        <v/>
      </c>
    </row>
    <row r="9" ht="15" customHeight="1" s="14">
      <c r="A9" s="25">
        <f>IF(LEFT(Sources!H7,3)="Yes",Sources!B7&amp;" — "&amp;Sources!J7&amp;" — "&amp;Sources!E7,"")</f>
        <v/>
      </c>
    </row>
    <row r="10" ht="15" customHeight="1" s="14">
      <c r="A10" s="25">
        <f>IF(LEFT(Sources!H8,3)="Yes",Sources!B8&amp;" — "&amp;Sources!J8&amp;" — "&amp;Sources!E8,"")</f>
        <v/>
      </c>
    </row>
    <row r="11" ht="15" customHeight="1" s="14">
      <c r="A11" s="25">
        <f>IF(LEFT(Sources!H9,3)="Yes",Sources!B9&amp;" — "&amp;Sources!J9&amp;" — "&amp;Sources!E9,"")</f>
        <v/>
      </c>
    </row>
    <row r="12" ht="15" customHeight="1" s="14">
      <c r="A12" s="25">
        <f>IF(LEFT(Sources!H10,3)="Yes",Sources!B10&amp;" — "&amp;Sources!J10&amp;" — "&amp;Sources!E10,"")</f>
        <v/>
      </c>
    </row>
    <row r="13" ht="15" customHeight="1" s="14">
      <c r="A13" s="25">
        <f>IF(LEFT(Sources!H11,3)="Yes",Sources!B11&amp;" — "&amp;Sources!J11&amp;" — "&amp;Sources!E11,"")</f>
        <v/>
      </c>
    </row>
    <row r="14" ht="15" customHeight="1" s="14">
      <c r="A14" s="25">
        <f>IF(LEFT(Sources!H12,3)="Yes",Sources!B12&amp;" — "&amp;Sources!J12&amp;" — "&amp;Sources!E12,"")</f>
        <v/>
      </c>
    </row>
    <row r="15" ht="15" customHeight="1" s="14">
      <c r="A15" s="25">
        <f>IF(LEFT(Sources!H13,3)="Yes",Sources!B13&amp;" — "&amp;Sources!J13&amp;" — "&amp;Sources!E13,"")</f>
        <v/>
      </c>
    </row>
    <row r="16" ht="15" customHeight="1" s="14">
      <c r="A16" s="25">
        <f>IF(LEFT(Sources!H14,3)="Yes",Sources!B14&amp;" — "&amp;Sources!J14&amp;" — "&amp;Sources!E14,"")</f>
        <v/>
      </c>
    </row>
    <row r="17" ht="15" customHeight="1" s="14">
      <c r="A17" s="25">
        <f>IF(LEFT(Sources!H15,3)="Yes",Sources!B15&amp;" — "&amp;Sources!J15&amp;" — "&amp;Sources!E15,"")</f>
        <v/>
      </c>
    </row>
    <row r="18" ht="15" customHeight="1" s="14">
      <c r="A18" s="25">
        <f>IF(LEFT(Sources!H16,3)="Yes",Sources!B16&amp;" — "&amp;Sources!J16&amp;" — "&amp;Sources!E16,"")</f>
        <v/>
      </c>
    </row>
    <row r="19" ht="15" customHeight="1" s="14">
      <c r="A19" s="25">
        <f>IF(LEFT(Sources!H17,3)="Yes",Sources!B17&amp;" — "&amp;Sources!J17&amp;" — "&amp;Sources!E17,"")</f>
        <v/>
      </c>
    </row>
    <row r="20" ht="15" customHeight="1" s="14">
      <c r="A20" s="25">
        <f>IF(LEFT(Sources!H18,3)="Yes",Sources!B18&amp;" — "&amp;Sources!J18&amp;" — "&amp;Sources!E18,"")</f>
        <v/>
      </c>
    </row>
    <row r="21" ht="15" customHeight="1" s="14">
      <c r="A21" s="25">
        <f>IF(LEFT(Sources!H19,3)="Yes",Sources!B19&amp;" — "&amp;Sources!J19&amp;" — "&amp;Sources!E19,"")</f>
        <v/>
      </c>
    </row>
    <row r="22" ht="15" customHeight="1" s="14">
      <c r="A22" s="25">
        <f>IF(LEFT(Sources!H20,3)="Yes",Sources!B20&amp;" — "&amp;Sources!J20&amp;" — "&amp;Sources!E20,"")</f>
        <v/>
      </c>
    </row>
    <row r="23" ht="15" customHeight="1" s="14">
      <c r="A23" s="25">
        <f>IF(LEFT(Sources!H21,3)="Yes",Sources!B21&amp;" — "&amp;Sources!J21&amp;" — "&amp;Sources!E21,"")</f>
        <v/>
      </c>
    </row>
    <row r="24" ht="15" customHeight="1" s="14">
      <c r="A24" s="25">
        <f>IF(LEFT(Sources!H22,3)="Yes",Sources!B22&amp;" — "&amp;Sources!J22&amp;" — "&amp;Sources!E22,"")</f>
        <v/>
      </c>
    </row>
    <row r="25" ht="15" customHeight="1" s="14">
      <c r="A25" s="25">
        <f>IF(LEFT(Sources!H23,3)="Yes",Sources!B23&amp;" — "&amp;Sources!J23&amp;" — "&amp;Sources!E23,"")</f>
        <v/>
      </c>
    </row>
    <row r="26" ht="15" customHeight="1" s="14">
      <c r="A26" s="25">
        <f>IF(LEFT(Sources!H24,3)="Yes",Sources!B24&amp;" — "&amp;Sources!J24&amp;" — "&amp;Sources!E24,"")</f>
        <v/>
      </c>
    </row>
    <row r="27" ht="15" customHeight="1" s="14">
      <c r="A27" s="25">
        <f>IF(LEFT(Sources!H25,3)="Yes",Sources!B25&amp;" — "&amp;Sources!J25&amp;" — "&amp;Sources!E25,"")</f>
        <v/>
      </c>
    </row>
    <row r="28">
      <c r="A28" s="25">
        <f>IF(LEFT(Sources!H26,3)="Yes",Sources!B26&amp;" — "&amp;Sources!J26&amp;" — "&amp;Sources!E26,"")</f>
        <v/>
      </c>
    </row>
    <row r="29">
      <c r="A29" s="25">
        <f>IF(LEFT(Sources!H27,3)="Yes",Sources!B27&amp;" — "&amp;Sources!J27&amp;" — "&amp;Sources!E27,"")</f>
        <v/>
      </c>
    </row>
    <row r="30">
      <c r="A30" s="25">
        <f>IF(LEFT(Sources!H28,3)="Yes",Sources!B28&amp;" — "&amp;Sources!J28&amp;" — "&amp;Sources!E28,"")</f>
        <v/>
      </c>
    </row>
    <row r="31">
      <c r="A31" s="25">
        <f>IF(LEFT(Sources!H29,3)="Yes",Sources!B29&amp;" — "&amp;Sources!J29&amp;" — "&amp;Sources!E29,"")</f>
        <v/>
      </c>
    </row>
    <row r="32">
      <c r="A32" s="25">
        <f>IF(LEFT(Sources!H30,3)="Yes",Sources!B30&amp;" — "&amp;Sources!J30&amp;" — "&amp;Sources!E30,"")</f>
        <v/>
      </c>
    </row>
    <row r="33">
      <c r="A33" s="25">
        <f>IF(LEFT(Sources!H31,3)="Yes",Sources!B31&amp;" — "&amp;Sources!J31&amp;" — "&amp;Sources!E31,"")</f>
        <v/>
      </c>
    </row>
    <row r="34">
      <c r="A34" s="25">
        <f>IF(LEFT(Sources!H32,3)="Yes",Sources!B32&amp;" — "&amp;Sources!J32&amp;" — "&amp;Sources!E32,"")</f>
        <v/>
      </c>
    </row>
    <row r="35">
      <c r="A35" s="25">
        <f>IF(LEFT(Sources!H33,3)="Yes",Sources!B33&amp;" — "&amp;Sources!J33&amp;" — "&amp;Sources!E33,"")</f>
        <v/>
      </c>
    </row>
    <row r="36">
      <c r="A36" s="13">
        <f>IF(LEFT(Sources!H34,3)="Yes",Sources!B34&amp;" — "&amp;Sources!J34&amp;" — "&amp;Sources!E34,"")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2026-10-23T07:39:13Z</dcterms:created>
  <dcterms:modified xsi:type="dcterms:W3CDTF">2026-10-26T18:57:34Z</dcterms:modified>
  <cp:revision>0</cp:revision>
</cp:coreProperties>
</file>